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BC3C470-944B-4BF1-BF89-6FDBF2DC9C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Summary_KPI" sheetId="2" r:id="rId2"/>
    <sheet name="Summary_Lagu" sheetId="3" r:id="rId3"/>
    <sheet name="Summary_Genre" sheetId="4" r:id="rId4"/>
    <sheet name="Data_Tren" sheetId="5" r:id="rId5"/>
    <sheet name="2_users" sheetId="6" r:id="rId6"/>
    <sheet name="3_artists" sheetId="7" r:id="rId7"/>
    <sheet name="4_songs" sheetId="8" r:id="rId8"/>
    <sheet name="KPI_Definition" sheetId="9" r:id="rId9"/>
  </sheets>
  <definedNames>
    <definedName name="_xlnm.Print_Area" localSheetId="0">Dashboard!$A$1:$Q$33</definedName>
  </definedNames>
  <calcPr calcId="191029" fullCalcOnLoad="1"/>
</workbook>
</file>

<file path=xl/sharedStrings.xml><?xml version="1.0" encoding="utf-8"?>
<sst xmlns="http://schemas.openxmlformats.org/spreadsheetml/2006/main" count="108" uniqueCount="89">
  <si>
    <t>user_id</t>
  </si>
  <si>
    <t>user_name</t>
  </si>
  <si>
    <t>subscription_type</t>
  </si>
  <si>
    <t>Andi Saputra</t>
  </si>
  <si>
    <t>Premium</t>
  </si>
  <si>
    <t>Bella Christy</t>
  </si>
  <si>
    <t>Free</t>
  </si>
  <si>
    <t>Citra Wulandari</t>
  </si>
  <si>
    <t>Family</t>
  </si>
  <si>
    <t>artist_id</t>
  </si>
  <si>
    <t>artist_name</t>
  </si>
  <si>
    <t>Tulus</t>
  </si>
  <si>
    <t>Raisa</t>
  </si>
  <si>
    <t>Ardhito Pramono</t>
  </si>
  <si>
    <t>Sheila On 7</t>
  </si>
  <si>
    <t>song_id</t>
  </si>
  <si>
    <t>title</t>
  </si>
  <si>
    <t>duration</t>
  </si>
  <si>
    <t>genre</t>
  </si>
  <si>
    <t>release_date</t>
  </si>
  <si>
    <t>Hati-Hati di Jalan</t>
  </si>
  <si>
    <t xml:space="preserve">Pop </t>
  </si>
  <si>
    <t>2022-03-03</t>
  </si>
  <si>
    <t>Sahdu</t>
  </si>
  <si>
    <t>POP</t>
  </si>
  <si>
    <t>2021-04-01</t>
  </si>
  <si>
    <t>Serba Salah</t>
  </si>
  <si>
    <t>pop</t>
  </si>
  <si>
    <t>2020-02-14</t>
  </si>
  <si>
    <t>Cinta Luar Biasa</t>
  </si>
  <si>
    <t>Pop</t>
  </si>
  <si>
    <t>2019-07-10</t>
  </si>
  <si>
    <t>Sesuatu di Jogja</t>
  </si>
  <si>
    <t xml:space="preserve">indie </t>
  </si>
  <si>
    <t>2018-11-02</t>
  </si>
  <si>
    <t>Melompat Lebih Tinggi</t>
  </si>
  <si>
    <t>ROCK</t>
  </si>
  <si>
    <t>2000-06-18</t>
  </si>
  <si>
    <t>KPI</t>
  </si>
  <si>
    <t>Definisi / rumus</t>
  </si>
  <si>
    <t>Manfaat</t>
  </si>
  <si>
    <t>Total Plays</t>
  </si>
  <si>
    <t>COUNTROWS(tblPlayHistory)</t>
  </si>
  <si>
    <t>Memantau jumlah pemutaran lagu</t>
  </si>
  <si>
    <t>Unique Listeners</t>
  </si>
  <si>
    <t>DISTINCTCOUNT(user_id)</t>
  </si>
  <si>
    <t>Memantau jumlah pendengar aktif</t>
  </si>
  <si>
    <t>Unique Songs Played</t>
  </si>
  <si>
    <t>DISTINCTCOUNT(song_id)</t>
  </si>
  <si>
    <t>Mengetahui variasi lagu yang didengarkan</t>
  </si>
  <si>
    <t>Average Plays per Listener</t>
  </si>
  <si>
    <t>Total Plays / Unique Listeners</t>
  </si>
  <si>
    <t>Mengukur rata-rata aktivitas per pendengar</t>
  </si>
  <si>
    <t>Most Played Song</t>
  </si>
  <si>
    <t>Lagu dengan Total Plays tertinggi</t>
  </si>
  <si>
    <t>Mengetahui lagu yang paling sering diputar</t>
  </si>
  <si>
    <t>Summary Lagu  ·  Total Plays per Lagu</t>
  </si>
  <si>
    <t>Lagu</t>
  </si>
  <si>
    <t>Genre</t>
  </si>
  <si>
    <t>Total</t>
  </si>
  <si>
    <t>Angka biru = nilai dari PivotTable Pivot_Ringkasan (file Forum 10.1). Genre diambil dari 4_songs dan dirapikan (TRIM + PROPER).</t>
  </si>
  <si>
    <t>Summary Genre  ·  Total Plays per Genre</t>
  </si>
  <si>
    <t>Porsi</t>
  </si>
  <si>
    <t>Rock</t>
  </si>
  <si>
    <t>Indie</t>
  </si>
  <si>
    <t>Summary KPI  ·  sumber nilai KPI Cards di Dashboard</t>
  </si>
  <si>
    <t>Status terhadap target</t>
  </si>
  <si>
    <t>Angka biru = nilai dari PivotTable Pivot_KPI (Unique Listeners = DISTINCTCOUNT user_id). Nilai lain dihitung dari Summary_Lagu.</t>
  </si>
  <si>
    <t>Data Tren Harian  ·  1–16 Agustus 2026</t>
  </si>
  <si>
    <t>Tanggal</t>
  </si>
  <si>
    <t>Sumber: tblPlayHistory (Data Model) per played_date, nilai statis dari Forum 10.2.</t>
  </si>
  <si>
    <t>MUSIK STREAMING DASHBOARD</t>
  </si>
  <si>
    <t>Periode 1–16 Agustus 2026  ·  Sumber data: tblPlayHistory (Data Model)</t>
  </si>
  <si>
    <t>Year  ▾</t>
  </si>
  <si>
    <t>2026</t>
  </si>
  <si>
    <t>Genre  ▾</t>
  </si>
  <si>
    <t>Pop · Indie · Rock</t>
  </si>
  <si>
    <t>Artist  ▾</t>
  </si>
  <si>
    <t>Tulus · Raisa · ...</t>
  </si>
  <si>
    <t>Subscription  ▾</t>
  </si>
  <si>
    <t>Free · Premium · Family</t>
  </si>
  <si>
    <t>Total Plays per Hari</t>
  </si>
  <si>
    <t>Unique Listeners per Hari</t>
  </si>
  <si>
    <t>Total Plays per Lagu</t>
  </si>
  <si>
    <t>Total Plays per Genre</t>
  </si>
  <si>
    <t>SUMMARY / KEY INSIGHTS</t>
  </si>
  <si>
    <t>TOP PERFORMER</t>
  </si>
  <si>
    <t>GENRE TERPUSAT</t>
  </si>
  <si>
    <t>KETERLIBATAN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</si>
</sst>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22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20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7F7F7F"/>
      <name val="Arial"/>
      <family val="2"/>
    </font>
    <font>
      <b/>
      <sz val="10"/>
      <color rgb="FFFFFFFF"/>
      <name val="Arial"/>
      <family val="2"/>
    </font>
    <font>
      <sz val="9"/>
      <color rgb="FF595959"/>
      <name val="Arial"/>
      <family val="2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b/>
      <sz val="13"/>
      <color rgb="FF2C3E5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9"/>
      <color rgb="FF2E7D32"/>
      <name val="Arial"/>
      <family val="2"/>
    </font>
    <font>
      <i/>
      <sz val="8"/>
      <color rgb="FF7F7F7F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b/>
      <sz val="20"/>
      <color rgb="FF1F2D3D"/>
      <name val="Arial"/>
      <family val="2"/>
    </font>
    <font>
      <sz val="10"/>
      <color rgb="FF6B7280"/>
      <name val="Arial"/>
      <family val="2"/>
    </font>
    <font>
      <b/>
      <sz val="10"/>
      <color rgb="FF595959"/>
      <name val="Arial"/>
      <family val="2"/>
    </font>
    <font>
      <b/>
      <sz val="28"/>
      <color rgb="FF1F4E78"/>
      <name val="Arial"/>
      <family val="2"/>
    </font>
    <font>
      <b/>
      <sz val="11"/>
      <color rgb="FF1F2D3D"/>
      <name val="Arial"/>
      <family val="2"/>
    </font>
    <font>
      <b/>
      <sz val="10"/>
      <color rgb="FF1F4E7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7791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5F8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B7791F"/>
      </left>
      <right style="thin">
        <color rgb="FFB7791F"/>
      </right>
      <top style="thin">
        <color rgb="FFB7791F"/>
      </top>
      <bottom style="thin">
        <color rgb="FFB7791F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/>
      <top/>
      <bottom style="thin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9" fillId="0" borderId="0" xfId="0" applyFont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 wrapText="1" indent="1"/>
    </xf>
    <xf numFmtId="0" fontId="8" fillId="7" borderId="5" xfId="0" applyFont="1" applyFill="1" applyBorder="1" applyAlignment="1">
      <alignment horizontal="left" vertical="center" indent="1"/>
    </xf>
    <xf numFmtId="0" fontId="7" fillId="8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left" vertical="center" wrapText="1" indent="1"/>
    </xf>
    <xf numFmtId="0" fontId="8" fillId="9" borderId="6" xfId="0" applyFont="1" applyFill="1" applyBorder="1" applyAlignment="1">
      <alignment horizontal="left" vertical="center" indent="1"/>
    </xf>
    <xf numFmtId="0" fontId="7" fillId="10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left" vertical="center" wrapText="1" indent="1"/>
    </xf>
    <xf numFmtId="0" fontId="8" fillId="11" borderId="7" xfId="0" applyFont="1" applyFill="1" applyBorder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8" fillId="14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 wrapText="1" indent="1"/>
    </xf>
  </cellXfs>
  <cellStyles count="1">
    <cellStyle name="Normal" xfId="0" builtinId="0"/>
  </cellStyles>
  <dxfs count="2">
    <dxf>
      <font>
        <b/>
        <color rgb="FFB7791F"/>
      </font>
    </dxf>
    <dxf>
      <font>
        <b/>
        <color rgb="FFC6282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F4E78"/>
              </a:solidFill>
              <a:round/>
            </a:ln>
          </c:spPr>
          <c:marker>
            <c:symbol val="circle"/>
            <c:size val="6"/>
            <c:spPr>
              <a:solidFill>
                <a:srgbClr val="1F4E78"/>
              </a:solidFill>
              <a:ln w="9525">
                <a:solidFill>
                  <a:srgbClr val="FFFFFF"/>
                </a:solidFill>
              </a:ln>
            </c:spPr>
          </c:marker>
          <c:cat>
            <c:numRef>
              <c:f>Data_Tren!$B$4:$B$19</c:f>
              <c:numCache>
                <c:formatCode>d\ mmm\ yyyy</c:formatCode>
                <c:ptCount val="16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</c:numCache>
            </c:numRef>
          </c:cat>
          <c:val>
            <c:numRef>
              <c:f>Data_Tren!$C$4:$C$19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smooth val="0"/>
        </c:ser>
        <c:marker val="1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d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DEDED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</c:chart>
  <c:spPr>
    <a:noFill/>
    <a:ln>
      <a:noFill/>
    </a:ln>
  </c:spPr>
  <c:txPr>
    <a:bodyPr/>
    <a:lstStyle/>
    <a:p>
      <a:pPr>
        <a:defRPr sz="900" b="0">
          <a:solidFill>
            <a:srgbClr val="404040"/>
          </a:solidFill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B4C7DC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F4E78"/>
              </a:solidFill>
            </c:spPr>
          </c:dPt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2D3D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Summary_Lagu!$B$4:$B$9</c:f>
              <c:strCache>
                <c:ptCount val="6"/>
                <c:pt idx="0">
                  <c:v>Hati-Hati di Jalan</c:v>
                </c:pt>
                <c:pt idx="1">
                  <c:v>Serba Salah</c:v>
                </c:pt>
                <c:pt idx="2">
                  <c:v>Sahdu</c:v>
                </c:pt>
                <c:pt idx="3">
                  <c:v>Cinta Luar Biasa</c:v>
                </c:pt>
                <c:pt idx="4">
                  <c:v>Melompat Lebih Tinggi</c:v>
                </c:pt>
                <c:pt idx="5">
                  <c:v>Sesuatu di Jogja</c:v>
                </c:pt>
              </c:strCache>
            </c:strRef>
          </c:cat>
          <c:val>
            <c:numRef>
              <c:f>Summary_Lagu!$C$4:$C$9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gapWidth val="55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in val="0"/>
        </c:scaling>
        <c:delete val="1"/>
        <c:axPos val="t"/>
        <c:numFmt formatCode="General" sourceLinked="0"/>
        <c:majorTickMark val="none"/>
        <c:minorTickMark val="none"/>
        <c:tickLblPos val="nextTo"/>
        <c:crossAx val="5003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noFill/>
    <a:ln>
      <a:noFill/>
    </a:ln>
  </c:spPr>
  <c:txPr>
    <a:bodyPr/>
    <a:lstStyle/>
    <a:p>
      <a:pPr>
        <a:defRPr sz="900" b="0">
          <a:solidFill>
            <a:srgbClr val="404040"/>
          </a:solidFill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B4C7DC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F4E78"/>
              </a:solidFill>
            </c:spPr>
          </c:dPt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1F2D3D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Summary_Genre!$B$4:$B$6</c:f>
              <c:strCache>
                <c:ptCount val="3"/>
                <c:pt idx="0">
                  <c:v>Pop</c:v>
                </c:pt>
                <c:pt idx="1">
                  <c:v>Rock</c:v>
                </c:pt>
                <c:pt idx="2">
                  <c:v>Indie</c:v>
                </c:pt>
              </c:strCache>
            </c:strRef>
          </c:cat>
          <c:val>
            <c:numRef>
              <c:f>Summary_Genre!$C$4:$C$6</c:f>
              <c:numCache>
                <c:formatCode>General</c:formatCode>
                <c:ptCount val="3"/>
                <c:pt idx="0">
                  <c:v>15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in val="0"/>
        </c:scaling>
        <c:delete val="1"/>
        <c:axPos val="t"/>
        <c:numFmt formatCode="General" sourceLinked="0"/>
        <c:majorTickMark val="none"/>
        <c:minorTickMark val="none"/>
        <c:tickLblPos val="nextTo"/>
        <c:crossAx val="5004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noFill/>
    <a:ln>
      <a:noFill/>
    </a:ln>
  </c:spPr>
  <c:txPr>
    <a:bodyPr/>
    <a:lstStyle/>
    <a:p>
      <a:pPr>
        <a:defRPr sz="900" b="0">
          <a:solidFill>
            <a:srgbClr val="404040"/>
          </a:solidFill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Tren Total Plays" descr="Grafik garis total plays per hari, 1-16 Agustus 20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3" name="Plays per Lagu" descr="Grafik batang total plays per lag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4" name="Plays per Genre" descr="Grafik batang total plays per gen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3"/>
  <sheetViews>
    <sheetView showGridLines="0" tabSelected="1" zoomScale="100" zoomScaleNormal="100" workbookViewId="0">
      <selection activeCell="A1" sqref="A1"/>
    </sheetView>
  </sheetViews>
  <sheetFormatPr defaultRowHeight="14.4"/>
  <cols>
    <col min="1" max="1" width="3" customWidth="1"/>
    <col min="2" max="4" width="9.6640625" customWidth="1"/>
    <col min="5" max="5" width="2.5546875" customWidth="1"/>
    <col min="6" max="8" width="9.6640625" customWidth="1"/>
    <col min="9" max="9" width="2.5546875" customWidth="1"/>
    <col min="10" max="12" width="9.6640625" customWidth="1"/>
    <col min="13" max="13" width="2.5546875" customWidth="1"/>
    <col min="14" max="16" width="9.6640625" customWidth="1"/>
    <col min="17" max="17" width="3" customWidth="1"/>
  </cols>
  <sheetData>
    <row r="1" ht="8" customHeight="1"/>
    <row r="2" ht="34" customHeight="1">
      <c r="B2" s="35" t="inlineStr">
        <is>
          <t>Musik Streaming Dashboard</t>
        </is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ht="20" customHeight="1">
      <c r="B3" s="36" t="inlineStr">
        <is>
          <t>Periode 1–16 Agustus 2026  ·  Sumber data: tblPlayHistory</t>
        </is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ht="10" customHeight="1"/>
    <row r="5" ht="20" customHeight="1">
      <c r="B5" s="37" t="inlineStr">
        <is>
          <t>Total Plays</t>
        </is>
      </c>
      <c r="C5" s="37"/>
      <c r="D5" s="37"/>
      <c r="F5" s="37" t="inlineStr">
        <is>
          <t>Unique Listeners</t>
        </is>
      </c>
      <c r="G5" s="37"/>
      <c r="H5" s="37"/>
      <c r="J5" s="37" t="inlineStr">
        <is>
          <t>Unique Songs Played</t>
        </is>
      </c>
      <c r="K5" s="37"/>
      <c r="L5" s="37"/>
      <c r="N5" s="37" t="inlineStr">
        <is>
          <t>Average Plays per Listener</t>
        </is>
      </c>
      <c r="O5" s="37"/>
      <c r="P5" s="37"/>
    </row>
    <row r="6" ht="42" customHeight="1">
      <c r="B6" s="38">
        <f>Summary_KPI!B4</f>
        <v>18</v>
      </c>
      <c r="C6" s="38"/>
      <c r="D6" s="38"/>
      <c r="F6" s="38">
        <f>Summary_KPI!C4</f>
        <v>3</v>
      </c>
      <c r="G6" s="38"/>
      <c r="H6" s="38"/>
      <c r="J6" s="38">
        <f>Summary_KPI!D4</f>
        <v>6</v>
      </c>
      <c r="K6" s="38"/>
      <c r="L6" s="38"/>
      <c r="N6" s="38">
        <f>Summary_KPI!E4</f>
        <v>6</v>
      </c>
      <c r="O6" s="38"/>
      <c r="P6" s="38"/>
    </row>
    <row r="7" ht="20" customHeight="1">
      <c r="B7" s="39" t="str">
        <f>Summary_KPI!B7</f>
        <v>● Tercapai (target ≥15)</v>
      </c>
      <c r="C7" s="39"/>
      <c r="D7" s="39"/>
      <c r="F7" s="39" t="str">
        <f>Summary_KPI!C7</f>
        <v>● Tercapai (target ≥3)</v>
      </c>
      <c r="G7" s="39"/>
      <c r="H7" s="39"/>
      <c r="J7" s="39" t="str">
        <f>Summary_KPI!D7</f>
        <v>● Tercapai (target ≥5)</v>
      </c>
      <c r="K7" s="39"/>
      <c r="L7" s="39"/>
      <c r="N7" s="39" t="str">
        <f>Summary_KPI!E7</f>
        <v>● Tercapai (target ≥5)</v>
      </c>
      <c r="O7" s="39"/>
      <c r="P7" s="39"/>
    </row>
    <row r="8" ht="14" customHeight="1"/>
    <row r="9" ht="22" customHeight="1">
      <c r="B9" s="40" t="inlineStr">
        <is>
          <t>Tren Total Plays per Hari  ·  Agustus 2026</t>
        </is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14" customHeight="1"/>
    <row r="19" ht="22" customHeight="1">
      <c r="B19" s="40" t="inlineStr">
        <is>
          <t>Total Plays per Lagu</t>
        </is>
      </c>
      <c r="C19" s="40"/>
      <c r="D19" s="40"/>
      <c r="E19" s="40"/>
      <c r="F19" s="40"/>
      <c r="G19" s="40"/>
      <c r="H19" s="40"/>
      <c r="J19" s="40" t="inlineStr">
        <is>
          <t>Total Plays per Genre</t>
        </is>
      </c>
      <c r="K19" s="40"/>
      <c r="L19" s="40"/>
      <c r="M19" s="40"/>
      <c r="N19" s="40"/>
      <c r="O19" s="40"/>
      <c r="P19" s="40"/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14" customHeight="1"/>
    <row r="29" ht="22" customHeight="1">
      <c r="B29" s="40" t="inlineStr">
        <is>
          <t>Insight Utama</t>
        </is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ht="28" customHeight="1">
      <c r="B30" s="41" t="inlineStr">
        <is>
          <t>Lagu terpopuler</t>
        </is>
      </c>
      <c r="C30" s="41"/>
      <c r="D30" s="41"/>
      <c r="E30" s="42" t="str">
        <f>INDEX(Summary_Lagu!B4:B9,MATCH(MAX(Summary_Lagu!C4:C9),Summary_Lagu!C4:C9,0))&amp;" paling banyak diputar ("&amp;MAX(Summary_Lagu!C4:C9)&amp;" plays) – acuan untuk playlist sejenis."</f>
        <v>Hati-Hati di Jalan paling banyak diputar (5 plays) – acuan untuk playlist sejenis.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</row>
    <row r="31" ht="28" customHeight="1">
      <c r="B31" s="41" t="inlineStr">
        <is>
          <t>Dominasi genre</t>
        </is>
      </c>
      <c r="C31" s="41"/>
      <c r="D31" s="41"/>
      <c r="E31" s="42" t="str">
        <f>INDEX(Summary_Genre!B4:B6,MATCH(MAX(Summary_Genre!C4:C6),Summary_Genre!C4:C6,0))&amp;" menyumbang "&amp;TEXT(MAX(Summary_Genre!C4:C6)/Summary_Genre!C7,"0%")&amp;" dari "&amp;Summary_Genre!C7&amp;" plays – perlu variasi genre agar pasar lebih luas."</f>
        <v>Pop menyumbang 83% dari 18 plays – perlu variasi genre agar pasar lebih luas.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</row>
    <row r="32" ht="28" customHeight="1">
      <c r="B32" s="41" t="inlineStr">
        <is>
          <t>Keterlibatan</t>
        </is>
      </c>
      <c r="C32" s="41"/>
      <c r="D32" s="41"/>
      <c r="E32" s="42" t="str">
        <f>"Rata-rata "&amp;Summary_KPI!E4&amp;" plays per pendengar, "&amp;IF(Summary_KPI!E4&gt;=5,"sudah memenuhi target (≥5).","masih di bawah target (≥5) – rekomendasi lagu dan notifikasi perlu ditingkatkan.")</f>
        <v>Rata-rata 6 plays per pendengar, sudah memenuhi target (≥5).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</row>
    <row r="33" ht="10" customHeight="1"/>
  </sheetData>
  <mergeCells count="24">
    <mergeCell ref="B2:P2"/>
    <mergeCell ref="B3:P3"/>
    <mergeCell ref="B5:D5"/>
    <mergeCell ref="B6:D6"/>
    <mergeCell ref="B7:D7"/>
    <mergeCell ref="F5:H5"/>
    <mergeCell ref="F6:H6"/>
    <mergeCell ref="F7:H7"/>
    <mergeCell ref="J5:L5"/>
    <mergeCell ref="J6:L6"/>
    <mergeCell ref="J7:L7"/>
    <mergeCell ref="N5:P5"/>
    <mergeCell ref="N6:P6"/>
    <mergeCell ref="N7:P7"/>
    <mergeCell ref="B9:P9"/>
    <mergeCell ref="B19:H19"/>
    <mergeCell ref="J19:P19"/>
    <mergeCell ref="B29:P29"/>
    <mergeCell ref="B30:D30"/>
    <mergeCell ref="E30:P30"/>
    <mergeCell ref="B31:D31"/>
    <mergeCell ref="E31:P31"/>
    <mergeCell ref="B32:D32"/>
    <mergeCell ref="E32:P32"/>
  </mergeCells>
  <conditionalFormatting sqref="B7:D7 F7:H7 J7:L7 N7:P7">
    <cfRule type="containsText" dxfId="0" priority="1" operator="containsText" text="Waspada">
      <formula>NOT(ISERROR(SEARCH("Waspada",B7)))</formula>
    </cfRule>
    <cfRule type="containsText" dxfId="1" priority="2" operator="containsText" text="Rendah">
      <formula>NOT(ISERROR(SEARCH("Rendah",B7)))</formula>
    </cfRule>
  </conditionalFormatting>
  <pageMargins left="0.3" right="0.3" top="0.3" bottom="0.3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9"/>
  <sheetViews>
    <sheetView showGridLines="0" workbookViewId="0"/>
  </sheetViews>
  <sheetFormatPr defaultRowHeight="14.4"/>
  <cols>
    <col min="1" max="1" width="2.6640625" customWidth="1"/>
    <col min="2" max="5" width="26.6640625" customWidth="1"/>
  </cols>
  <sheetData>
    <row r="1" spans="2:5" ht="16.8">
      <c r="B1" s="1" t="s">
        <v>65</v>
      </c>
    </row>
    <row r="3" spans="2:5">
      <c r="B3" s="2" t="s">
        <v>41</v>
      </c>
      <c r="C3" s="2" t="s">
        <v>44</v>
      </c>
      <c r="D3" s="2" t="s">
        <v>47</v>
      </c>
      <c r="E3" s="2" t="s">
        <v>50</v>
      </c>
    </row>
    <row r="4" spans="2:5">
      <c r="B4" s="3">
        <f>SUM(Summary_Lagu!C4:C9)</f>
        <v>18</v>
      </c>
      <c r="C4" s="4">
        <v>3</v>
      </c>
      <c r="D4" s="3">
        <f>COUNTIF(Summary_Lagu!C4:C9,"&gt;0")</f>
        <v>6</v>
      </c>
      <c r="E4" s="3">
        <f>ROUND(B4/C4,1)</f>
        <v>6</v>
      </c>
    </row>
    <row r="6" spans="2:5">
      <c r="B6" s="30" t="s">
        <v>66</v>
      </c>
      <c r="C6" s="30"/>
      <c r="D6" s="30"/>
      <c r="E6" s="30"/>
    </row>
    <row r="7" spans="2:5">
      <c r="B7" s="5" t="str">
        <f>IF(B4&gt;=15,"● Tercapai (target ≥15)",IF(B4&gt;=10,"● Waspada (10–14)","● Rendah (&lt;10)"))</f>
        <v>● Tercapai (target ≥15)</v>
      </c>
      <c r="C7" s="5" t="str">
        <f>IF(C4&gt;=3,"● Tercapai (target ≥3)",IF(C4=2,"● Waspada (2)","● Rendah (≤1)"))</f>
        <v>● Tercapai (target ≥3)</v>
      </c>
      <c r="D7" s="5" t="str">
        <f>IF(D4&gt;=5,"● Tercapai (target ≥5)",IF(D4&gt;=3,"● Waspada (3–4)","● Rendah (&lt;3)"))</f>
        <v>● Tercapai (target ≥5)</v>
      </c>
      <c r="E7" s="5" t="str">
        <f>IF(E4&gt;=5,"● Tercapai (target ≥5)",IF(E4&gt;=3,"● Waspada (3–5)","● Rendah (&lt;3)"))</f>
        <v>● Tercapai (target ≥5)</v>
      </c>
    </row>
    <row r="9" spans="2:5">
      <c r="B9" s="6" t="s">
        <v>67</v>
      </c>
    </row>
  </sheetData>
  <mergeCells count="1">
    <mergeCell ref="B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workbookViewId="0"/>
  </sheetViews>
  <sheetFormatPr defaultRowHeight="14.4"/>
  <cols>
    <col min="1" max="1" width="2.6640625" customWidth="1"/>
    <col min="2" max="2" width="26.6640625" customWidth="1"/>
    <col min="3" max="4" width="14.6640625" customWidth="1"/>
  </cols>
  <sheetData>
    <row r="1" spans="2:4" ht="16.8">
      <c r="B1" s="1" t="s">
        <v>56</v>
      </c>
    </row>
    <row r="3" spans="2:4">
      <c r="B3" s="2" t="s">
        <v>57</v>
      </c>
      <c r="C3" s="2" t="s">
        <v>41</v>
      </c>
      <c r="D3" s="2" t="s">
        <v>58</v>
      </c>
    </row>
    <row r="4" spans="2:4">
      <c r="B4" s="7" t="s">
        <v>20</v>
      </c>
      <c r="C4" s="8">
        <v>5</v>
      </c>
      <c r="D4" s="9" t="str">
        <f>PROPER(TRIM(INDEX('4_songs'!$E$2:$E$7,MATCH(B4,'4_songs'!$B$2:$B$7,0))))</f>
        <v>Pop</v>
      </c>
    </row>
    <row r="5" spans="2:4">
      <c r="B5" s="7" t="s">
        <v>26</v>
      </c>
      <c r="C5" s="8">
        <v>4</v>
      </c>
      <c r="D5" s="9" t="str">
        <f>PROPER(TRIM(INDEX('4_songs'!$E$2:$E$7,MATCH(B5,'4_songs'!$B$2:$B$7,0))))</f>
        <v>Pop</v>
      </c>
    </row>
    <row r="6" spans="2:4">
      <c r="B6" s="7" t="s">
        <v>23</v>
      </c>
      <c r="C6" s="8">
        <v>4</v>
      </c>
      <c r="D6" s="9" t="str">
        <f>PROPER(TRIM(INDEX('4_songs'!$E$2:$E$7,MATCH(B6,'4_songs'!$B$2:$B$7,0))))</f>
        <v>Pop</v>
      </c>
    </row>
    <row r="7" spans="2:4">
      <c r="B7" s="7" t="s">
        <v>29</v>
      </c>
      <c r="C7" s="8">
        <v>2</v>
      </c>
      <c r="D7" s="9" t="str">
        <f>PROPER(TRIM(INDEX('4_songs'!$E$2:$E$7,MATCH(B7,'4_songs'!$B$2:$B$7,0))))</f>
        <v>Pop</v>
      </c>
    </row>
    <row r="8" spans="2:4">
      <c r="B8" s="7" t="s">
        <v>35</v>
      </c>
      <c r="C8" s="8">
        <v>2</v>
      </c>
      <c r="D8" s="9" t="str">
        <f>PROPER(TRIM(INDEX('4_songs'!$E$2:$E$7,MATCH(B8,'4_songs'!$B$2:$B$7,0))))</f>
        <v>Rock</v>
      </c>
    </row>
    <row r="9" spans="2:4">
      <c r="B9" s="7" t="s">
        <v>32</v>
      </c>
      <c r="C9" s="8">
        <v>1</v>
      </c>
      <c r="D9" s="9" t="str">
        <f>PROPER(TRIM(INDEX('4_songs'!$E$2:$E$7,MATCH(B9,'4_songs'!$B$2:$B$7,0))))</f>
        <v>Indie</v>
      </c>
    </row>
    <row r="10" spans="2:4">
      <c r="B10" s="10" t="s">
        <v>59</v>
      </c>
      <c r="C10" s="10">
        <f>SUM(C4:C9)</f>
        <v>18</v>
      </c>
      <c r="D10" s="10"/>
    </row>
    <row r="12" spans="2:4">
      <c r="B12" s="6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9"/>
  <sheetViews>
    <sheetView showGridLines="0" workbookViewId="0"/>
  </sheetViews>
  <sheetFormatPr defaultRowHeight="14.4"/>
  <cols>
    <col min="1" max="1" width="2.6640625" customWidth="1"/>
    <col min="2" max="2" width="20.6640625" customWidth="1"/>
    <col min="3" max="4" width="14.6640625" customWidth="1"/>
  </cols>
  <sheetData>
    <row r="1" spans="2:4" ht="16.8">
      <c r="B1" s="1" t="s">
        <v>61</v>
      </c>
    </row>
    <row r="3" spans="2:4">
      <c r="B3" s="2" t="s">
        <v>58</v>
      </c>
      <c r="C3" s="2" t="s">
        <v>41</v>
      </c>
      <c r="D3" s="2" t="s">
        <v>62</v>
      </c>
    </row>
    <row r="4" spans="2:4">
      <c r="B4" s="7" t="s">
        <v>30</v>
      </c>
      <c r="C4" s="9">
        <f>SUMIF(Summary_Lagu!$D$4:$D$9,B4,Summary_Lagu!$C$4:$C$9)</f>
        <v>15</v>
      </c>
      <c r="D4" s="11">
        <f>C4/$C$7</f>
        <v>0.83333333333333337</v>
      </c>
    </row>
    <row r="5" spans="2:4">
      <c r="B5" s="7" t="s">
        <v>63</v>
      </c>
      <c r="C5" s="9">
        <f>SUMIF(Summary_Lagu!$D$4:$D$9,B5,Summary_Lagu!$C$4:$C$9)</f>
        <v>2</v>
      </c>
      <c r="D5" s="11">
        <f>C5/$C$7</f>
        <v>0.1111111111111111</v>
      </c>
    </row>
    <row r="6" spans="2:4">
      <c r="B6" s="7" t="s">
        <v>64</v>
      </c>
      <c r="C6" s="9">
        <f>SUMIF(Summary_Lagu!$D$4:$D$9,B6,Summary_Lagu!$C$4:$C$9)</f>
        <v>1</v>
      </c>
      <c r="D6" s="11">
        <f>C6/$C$7</f>
        <v>5.5555555555555552E-2</v>
      </c>
    </row>
    <row r="7" spans="2:4">
      <c r="B7" s="10" t="s">
        <v>59</v>
      </c>
      <c r="C7" s="10">
        <f>SUM(C4:C6)</f>
        <v>18</v>
      </c>
      <c r="D7" s="10"/>
    </row>
    <row r="9" spans="2:4">
      <c r="B9" s="6" t="str">
        <f>IF(C7=Summary_Lagu!C10,"✔ Sesuai dengan total plays per lagu","Periksa: total tidak sama")</f>
        <v>✔ Sesuai dengan total plays per lagu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3"/>
  <sheetViews>
    <sheetView showGridLines="0" workbookViewId="0"/>
  </sheetViews>
  <sheetFormatPr defaultRowHeight="14.4"/>
  <cols>
    <col min="1" max="1" width="2.6640625" customWidth="1"/>
    <col min="2" max="4" width="18.6640625" customWidth="1"/>
  </cols>
  <sheetData>
    <row r="1" spans="2:4" ht="16.8">
      <c r="B1" s="1" t="s">
        <v>68</v>
      </c>
    </row>
    <row r="3" spans="2:4">
      <c r="B3" s="2" t="s">
        <v>69</v>
      </c>
      <c r="C3" s="2" t="s">
        <v>41</v>
      </c>
      <c r="D3" s="2" t="s">
        <v>44</v>
      </c>
    </row>
    <row r="4" spans="2:4">
      <c r="B4" s="12">
        <v>46235</v>
      </c>
      <c r="C4" s="8">
        <v>1</v>
      </c>
      <c r="D4" s="8">
        <v>1</v>
      </c>
    </row>
    <row r="5" spans="2:4">
      <c r="B5" s="12">
        <v>46236</v>
      </c>
      <c r="C5" s="8">
        <v>2</v>
      </c>
      <c r="D5" s="8">
        <v>1</v>
      </c>
    </row>
    <row r="6" spans="2:4">
      <c r="B6" s="12">
        <v>46237</v>
      </c>
      <c r="C6" s="8">
        <v>1</v>
      </c>
      <c r="D6" s="8">
        <v>1</v>
      </c>
    </row>
    <row r="7" spans="2:4">
      <c r="B7" s="12">
        <v>46238</v>
      </c>
      <c r="C7" s="8">
        <v>2</v>
      </c>
      <c r="D7" s="8">
        <v>2</v>
      </c>
    </row>
    <row r="8" spans="2:4">
      <c r="B8" s="12">
        <v>46239</v>
      </c>
      <c r="C8" s="8">
        <v>0</v>
      </c>
      <c r="D8" s="8">
        <v>0</v>
      </c>
    </row>
    <row r="9" spans="2:4">
      <c r="B9" s="12">
        <v>46240</v>
      </c>
      <c r="C9" s="8">
        <v>2</v>
      </c>
      <c r="D9" s="8">
        <v>2</v>
      </c>
    </row>
    <row r="10" spans="2:4">
      <c r="B10" s="12">
        <v>46241</v>
      </c>
      <c r="C10" s="8">
        <v>0</v>
      </c>
      <c r="D10" s="8">
        <v>0</v>
      </c>
    </row>
    <row r="11" spans="2:4">
      <c r="B11" s="12">
        <v>46242</v>
      </c>
      <c r="C11" s="8">
        <v>2</v>
      </c>
      <c r="D11" s="8">
        <v>1</v>
      </c>
    </row>
    <row r="12" spans="2:4">
      <c r="B12" s="12">
        <v>46243</v>
      </c>
      <c r="C12" s="8">
        <v>1</v>
      </c>
      <c r="D12" s="8">
        <v>1</v>
      </c>
    </row>
    <row r="13" spans="2:4">
      <c r="B13" s="12">
        <v>46244</v>
      </c>
      <c r="C13" s="8">
        <v>0</v>
      </c>
      <c r="D13" s="8">
        <v>0</v>
      </c>
    </row>
    <row r="14" spans="2:4">
      <c r="B14" s="12">
        <v>46245</v>
      </c>
      <c r="C14" s="8">
        <v>2</v>
      </c>
      <c r="D14" s="8">
        <v>2</v>
      </c>
    </row>
    <row r="15" spans="2:4">
      <c r="B15" s="12">
        <v>46246</v>
      </c>
      <c r="C15" s="8">
        <v>1</v>
      </c>
      <c r="D15" s="8">
        <v>1</v>
      </c>
    </row>
    <row r="16" spans="2:4">
      <c r="B16" s="12">
        <v>46247</v>
      </c>
      <c r="C16" s="8">
        <v>2</v>
      </c>
      <c r="D16" s="8">
        <v>2</v>
      </c>
    </row>
    <row r="17" spans="2:4">
      <c r="B17" s="12">
        <v>46248</v>
      </c>
      <c r="C17" s="8">
        <v>0</v>
      </c>
      <c r="D17" s="8">
        <v>0</v>
      </c>
    </row>
    <row r="18" spans="2:4">
      <c r="B18" s="12">
        <v>46249</v>
      </c>
      <c r="C18" s="8">
        <v>0</v>
      </c>
      <c r="D18" s="8">
        <v>0</v>
      </c>
    </row>
    <row r="19" spans="2:4">
      <c r="B19" s="12">
        <v>46250</v>
      </c>
      <c r="C19" s="8">
        <v>2</v>
      </c>
      <c r="D19" s="8">
        <v>2</v>
      </c>
    </row>
    <row r="20" spans="2:4">
      <c r="B20" s="10" t="s">
        <v>59</v>
      </c>
      <c r="C20" s="10">
        <f>SUM(C4:C19)</f>
        <v>18</v>
      </c>
      <c r="D20" s="10"/>
    </row>
    <row r="22" spans="2:4">
      <c r="B22" s="6" t="str">
        <f>IF(C20=Summary_KPI!B4,"✔ Sesuai dengan KPI Total Plays","Periksa")</f>
        <v>✔ Sesuai dengan KPI Total Plays</v>
      </c>
    </row>
    <row r="23" spans="2:4">
      <c r="B23" s="6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4.4"/>
  <cols>
    <col min="1" max="6" width="24.6640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4">
        <v>101</v>
      </c>
      <c r="B2" s="14" t="s">
        <v>3</v>
      </c>
      <c r="C2" s="14" t="s">
        <v>4</v>
      </c>
    </row>
    <row r="3" spans="1:3">
      <c r="A3" s="14">
        <v>102</v>
      </c>
      <c r="B3" s="14" t="s">
        <v>5</v>
      </c>
      <c r="C3" s="14" t="s">
        <v>6</v>
      </c>
    </row>
    <row r="4" spans="1:3">
      <c r="A4" s="14">
        <v>103</v>
      </c>
      <c r="B4" s="14" t="s">
        <v>7</v>
      </c>
      <c r="C4" s="14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/>
  <cols>
    <col min="1" max="6" width="24.6640625" customWidth="1"/>
  </cols>
  <sheetData>
    <row r="1" spans="1:2">
      <c r="A1" s="13" t="s">
        <v>9</v>
      </c>
      <c r="B1" s="13" t="s">
        <v>10</v>
      </c>
    </row>
    <row r="2" spans="1:2">
      <c r="A2" s="14">
        <v>501</v>
      </c>
      <c r="B2" s="14" t="s">
        <v>11</v>
      </c>
    </row>
    <row r="3" spans="1:2">
      <c r="A3" s="14">
        <v>502</v>
      </c>
      <c r="B3" s="14" t="s">
        <v>12</v>
      </c>
    </row>
    <row r="4" spans="1:2">
      <c r="A4" s="14">
        <v>503</v>
      </c>
      <c r="B4" s="14" t="s">
        <v>13</v>
      </c>
    </row>
    <row r="5" spans="1:2">
      <c r="A5" s="14">
        <v>504</v>
      </c>
      <c r="B5" s="14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/>
  </sheetViews>
  <sheetFormatPr defaultRowHeight="14.4"/>
  <cols>
    <col min="1" max="6" width="24.6640625" customWidth="1"/>
  </cols>
  <sheetData>
    <row r="1" spans="1:6">
      <c r="A1" s="13" t="s">
        <v>15</v>
      </c>
      <c r="B1" s="13" t="s">
        <v>16</v>
      </c>
      <c r="C1" s="13" t="s">
        <v>17</v>
      </c>
      <c r="D1" s="13" t="s">
        <v>9</v>
      </c>
      <c r="E1" s="13" t="s">
        <v>18</v>
      </c>
      <c r="F1" s="13" t="s">
        <v>19</v>
      </c>
    </row>
    <row r="2" spans="1:6">
      <c r="A2" s="14">
        <v>9001</v>
      </c>
      <c r="B2" s="14" t="s">
        <v>20</v>
      </c>
      <c r="C2" s="14">
        <v>258</v>
      </c>
      <c r="D2" s="14">
        <v>501</v>
      </c>
      <c r="E2" s="14" t="s">
        <v>21</v>
      </c>
      <c r="F2" s="14" t="s">
        <v>22</v>
      </c>
    </row>
    <row r="3" spans="1:6">
      <c r="A3" s="14">
        <v>9002</v>
      </c>
      <c r="B3" s="14" t="s">
        <v>23</v>
      </c>
      <c r="C3" s="14">
        <v>231</v>
      </c>
      <c r="D3" s="14">
        <v>501</v>
      </c>
      <c r="E3" s="14" t="s">
        <v>24</v>
      </c>
      <c r="F3" s="14" t="s">
        <v>25</v>
      </c>
    </row>
    <row r="4" spans="1:6">
      <c r="A4" s="14">
        <v>9003</v>
      </c>
      <c r="B4" s="14" t="s">
        <v>26</v>
      </c>
      <c r="C4" s="14">
        <v>244</v>
      </c>
      <c r="D4" s="14">
        <v>502</v>
      </c>
      <c r="E4" s="14" t="s">
        <v>27</v>
      </c>
      <c r="F4" s="14" t="s">
        <v>28</v>
      </c>
    </row>
    <row r="5" spans="1:6">
      <c r="A5" s="14">
        <v>9004</v>
      </c>
      <c r="B5" s="14" t="s">
        <v>29</v>
      </c>
      <c r="C5" s="14">
        <v>267</v>
      </c>
      <c r="D5" s="14">
        <v>502</v>
      </c>
      <c r="E5" s="14" t="s">
        <v>30</v>
      </c>
      <c r="F5" s="14" t="s">
        <v>31</v>
      </c>
    </row>
    <row r="6" spans="1:6">
      <c r="A6" s="14">
        <v>9005</v>
      </c>
      <c r="B6" s="14" t="s">
        <v>32</v>
      </c>
      <c r="C6" s="14">
        <v>220</v>
      </c>
      <c r="D6" s="14">
        <v>503</v>
      </c>
      <c r="E6" s="14" t="s">
        <v>33</v>
      </c>
      <c r="F6" s="14" t="s">
        <v>34</v>
      </c>
    </row>
    <row r="7" spans="1:6">
      <c r="A7" s="14">
        <v>9006</v>
      </c>
      <c r="B7" s="14" t="s">
        <v>35</v>
      </c>
      <c r="C7" s="14">
        <v>275</v>
      </c>
      <c r="D7" s="14">
        <v>504</v>
      </c>
      <c r="E7" s="14" t="s">
        <v>36</v>
      </c>
      <c r="F7" s="14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/>
  <cols>
    <col min="1" max="6" width="24.6640625" customWidth="1"/>
  </cols>
  <sheetData>
    <row r="1" spans="1:3">
      <c r="A1" s="13" t="s">
        <v>38</v>
      </c>
      <c r="B1" s="13" t="s">
        <v>39</v>
      </c>
      <c r="C1" s="13" t="s">
        <v>40</v>
      </c>
    </row>
    <row r="2" spans="1:3">
      <c r="A2" s="14" t="s">
        <v>41</v>
      </c>
      <c r="B2" s="14" t="s">
        <v>42</v>
      </c>
      <c r="C2" s="14" t="s">
        <v>43</v>
      </c>
    </row>
    <row r="3" spans="1:3">
      <c r="A3" s="14" t="s">
        <v>44</v>
      </c>
      <c r="B3" s="14" t="s">
        <v>45</v>
      </c>
      <c r="C3" s="14" t="s">
        <v>46</v>
      </c>
    </row>
    <row r="4" spans="1:3">
      <c r="A4" s="14" t="s">
        <v>47</v>
      </c>
      <c r="B4" s="14" t="s">
        <v>48</v>
      </c>
      <c r="C4" s="14" t="s">
        <v>49</v>
      </c>
    </row>
    <row r="5" spans="1:3">
      <c r="A5" s="14" t="s">
        <v>50</v>
      </c>
      <c r="B5" s="14" t="s">
        <v>51</v>
      </c>
      <c r="C5" s="14" t="s">
        <v>52</v>
      </c>
    </row>
    <row r="6" spans="1:3">
      <c r="A6" s="14" t="s">
        <v>53</v>
      </c>
      <c r="B6" s="14" t="s">
        <v>54</v>
      </c>
      <c r="C6" s="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Summary_KPI</vt:lpstr>
      <vt:lpstr>Summary_Lagu</vt:lpstr>
      <vt:lpstr>Summary_Genre</vt:lpstr>
      <vt:lpstr>Data_Tren</vt:lpstr>
      <vt:lpstr>2_users</vt:lpstr>
      <vt:lpstr>3_artists</vt:lpstr>
      <vt:lpstr>4_songs</vt:lpstr>
      <vt:lpstr>KPI_Definition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romanticizeel 's</cp:lastModifiedBy>
  <dcterms:created xsi:type="dcterms:W3CDTF">2026-10-10T12:46:25Z</dcterms:created>
  <dcterms:modified xsi:type="dcterms:W3CDTF">2026-10-17T15:03:17Z</dcterms:modified>
</cp:coreProperties>
</file>