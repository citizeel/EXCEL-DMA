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BC3C470-944B-4BF1-BF89-6FDBF2DC9C4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shboard" sheetId="1" r:id="rId1"/>
    <sheet name="Summary_KPI" sheetId="2" r:id="rId2"/>
    <sheet name="Summary_Lagu" sheetId="3" r:id="rId3"/>
    <sheet name="Summary_Genre" sheetId="4" r:id="rId4"/>
    <sheet name="Data_Tren" sheetId="5" r:id="rId5"/>
    <sheet name="2_users" sheetId="6" r:id="rId6"/>
    <sheet name="3_artists" sheetId="7" r:id="rId7"/>
    <sheet name="4_songs" sheetId="8" r:id="rId8"/>
    <sheet name="KPI_Definition" sheetId="9" r:id="rId9"/>
  </sheets>
  <definedNames>
    <definedName name="_xlnm.Print_Area" localSheetId="0">Dashboard!$A$1:$Q$40</definedName>
  </definedNames>
  <calcPr calcId="191029"/>
</workbook>
</file>

<file path=xl/calcChain.xml><?xml version="1.0" encoding="utf-8"?>
<calcChain xmlns="http://schemas.openxmlformats.org/spreadsheetml/2006/main">
  <c r="C20" i="5" l="1"/>
  <c r="B22" i="5" s="1"/>
  <c r="C10" i="3"/>
  <c r="D9" i="3"/>
  <c r="D8" i="3"/>
  <c r="D7" i="3"/>
  <c r="D6" i="3"/>
  <c r="D5" i="3"/>
  <c r="D4" i="3"/>
  <c r="C6" i="4" s="1"/>
  <c r="C7" i="2"/>
  <c r="D4" i="2"/>
  <c r="D7" i="2" s="1"/>
  <c r="B4" i="2"/>
  <c r="B7" i="2" s="1"/>
  <c r="E31" i="1"/>
  <c r="C4" i="4" l="1"/>
  <c r="C5" i="4"/>
  <c r="E4" i="2"/>
  <c r="C7" i="4" l="1"/>
  <c r="D4" i="4"/>
  <c r="E35" i="1"/>
  <c r="E7" i="2"/>
  <c r="B9" i="4" l="1"/>
  <c r="E33" i="1"/>
  <c r="D6" i="4"/>
  <c r="D5" i="4"/>
</calcChain>
</file>

<file path=xl/sharedStrings.xml><?xml version="1.0" encoding="utf-8"?>
<sst xmlns="http://schemas.openxmlformats.org/spreadsheetml/2006/main" count="108" uniqueCount="89">
  <si>
    <t>user_id</t>
  </si>
  <si>
    <t>user_name</t>
  </si>
  <si>
    <t>subscription_type</t>
  </si>
  <si>
    <t>Andi Saputra</t>
  </si>
  <si>
    <t>Premium</t>
  </si>
  <si>
    <t>Bella Christy</t>
  </si>
  <si>
    <t>Free</t>
  </si>
  <si>
    <t>Citra Wulandari</t>
  </si>
  <si>
    <t>Family</t>
  </si>
  <si>
    <t>artist_id</t>
  </si>
  <si>
    <t>artist_name</t>
  </si>
  <si>
    <t>Tulus</t>
  </si>
  <si>
    <t>Raisa</t>
  </si>
  <si>
    <t>Ardhito Pramono</t>
  </si>
  <si>
    <t>Sheila On 7</t>
  </si>
  <si>
    <t>song_id</t>
  </si>
  <si>
    <t>title</t>
  </si>
  <si>
    <t>duration</t>
  </si>
  <si>
    <t>genre</t>
  </si>
  <si>
    <t>release_date</t>
  </si>
  <si>
    <t>Hati-Hati di Jalan</t>
  </si>
  <si>
    <t xml:space="preserve">Pop </t>
  </si>
  <si>
    <t>2022-03-03</t>
  </si>
  <si>
    <t>Sahdu</t>
  </si>
  <si>
    <t>POP</t>
  </si>
  <si>
    <t>2021-04-01</t>
  </si>
  <si>
    <t>Serba Salah</t>
  </si>
  <si>
    <t>pop</t>
  </si>
  <si>
    <t>2020-02-14</t>
  </si>
  <si>
    <t>Cinta Luar Biasa</t>
  </si>
  <si>
    <t>Pop</t>
  </si>
  <si>
    <t>2019-07-10</t>
  </si>
  <si>
    <t>Sesuatu di Jogja</t>
  </si>
  <si>
    <t xml:space="preserve">indie </t>
  </si>
  <si>
    <t>2018-11-02</t>
  </si>
  <si>
    <t>Melompat Lebih Tinggi</t>
  </si>
  <si>
    <t>ROCK</t>
  </si>
  <si>
    <t>2000-06-18</t>
  </si>
  <si>
    <t>KPI</t>
  </si>
  <si>
    <t>Definisi / rumus</t>
  </si>
  <si>
    <t>Manfaat</t>
  </si>
  <si>
    <t>Total Plays</t>
  </si>
  <si>
    <t>COUNTROWS(tblPlayHistory)</t>
  </si>
  <si>
    <t>Memantau jumlah pemutaran lagu</t>
  </si>
  <si>
    <t>Unique Listeners</t>
  </si>
  <si>
    <t>DISTINCTCOUNT(user_id)</t>
  </si>
  <si>
    <t>Memantau jumlah pendengar aktif</t>
  </si>
  <si>
    <t>Unique Songs Played</t>
  </si>
  <si>
    <t>DISTINCTCOUNT(song_id)</t>
  </si>
  <si>
    <t>Mengetahui variasi lagu yang didengarkan</t>
  </si>
  <si>
    <t>Average Plays per Listener</t>
  </si>
  <si>
    <t>Total Plays / Unique Listeners</t>
  </si>
  <si>
    <t>Mengukur rata-rata aktivitas per pendengar</t>
  </si>
  <si>
    <t>Most Played Song</t>
  </si>
  <si>
    <t>Lagu dengan Total Plays tertinggi</t>
  </si>
  <si>
    <t>Mengetahui lagu yang paling sering diputar</t>
  </si>
  <si>
    <t>Summary Lagu  ·  Total Plays per Lagu</t>
  </si>
  <si>
    <t>Lagu</t>
  </si>
  <si>
    <t>Genre</t>
  </si>
  <si>
    <t>Total</t>
  </si>
  <si>
    <t>Angka biru = nilai dari PivotTable Pivot_Ringkasan (file Forum 10.1). Genre diambil dari 4_songs dan dirapikan (TRIM + PROPER).</t>
  </si>
  <si>
    <t>Summary Genre  ·  Total Plays per Genre</t>
  </si>
  <si>
    <t>Porsi</t>
  </si>
  <si>
    <t>Rock</t>
  </si>
  <si>
    <t>Indie</t>
  </si>
  <si>
    <t>Summary KPI  ·  sumber nilai KPI Cards di Dashboard</t>
  </si>
  <si>
    <t>Status terhadap target</t>
  </si>
  <si>
    <t>Angka biru = nilai dari PivotTable Pivot_KPI (Unique Listeners = DISTINCTCOUNT user_id). Nilai lain dihitung dari Summary_Lagu.</t>
  </si>
  <si>
    <t>Data Tren Harian  ·  1–16 Agustus 2026</t>
  </si>
  <si>
    <t>Tanggal</t>
  </si>
  <si>
    <t>Sumber: tblPlayHistory (Data Model) per played_date, nilai statis dari Forum 10.2.</t>
  </si>
  <si>
    <t>MUSIK STREAMING DASHBOARD</t>
  </si>
  <si>
    <t>Periode 1–16 Agustus 2026  ·  Sumber data: tblPlayHistory (Data Model)</t>
  </si>
  <si>
    <t>Year  ▾</t>
  </si>
  <si>
    <t>2026</t>
  </si>
  <si>
    <t>Genre  ▾</t>
  </si>
  <si>
    <t>Pop · Indie · Rock</t>
  </si>
  <si>
    <t>Artist  ▾</t>
  </si>
  <si>
    <t>Tulus · Raisa · ...</t>
  </si>
  <si>
    <t>Subscription  ▾</t>
  </si>
  <si>
    <t>Free · Premium · Family</t>
  </si>
  <si>
    <t>Total Plays per Hari</t>
  </si>
  <si>
    <t>Unique Listeners per Hari</t>
  </si>
  <si>
    <t>Total Plays per Lagu</t>
  </si>
  <si>
    <t>Total Plays per Genre</t>
  </si>
  <si>
    <t>SUMMARY / KEY INSIGHTS</t>
  </si>
  <si>
    <t>TOP PERFORMER</t>
  </si>
  <si>
    <t>GENRE TERPUSAT</t>
  </si>
  <si>
    <t>KETERLIBATAN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</si>
</sst>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yy"/>
  </numFmts>
  <fonts count="16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20"/>
      <color rgb="FFFFFFFF"/>
      <name val="Arial"/>
      <family val="2"/>
    </font>
    <font>
      <i/>
      <sz val="10"/>
      <color rgb="FFFFFFFF"/>
      <name val="Arial"/>
      <family val="2"/>
    </font>
    <font>
      <b/>
      <sz val="9"/>
      <color rgb="FF7F7F7F"/>
      <name val="Arial"/>
      <family val="2"/>
    </font>
    <font>
      <b/>
      <sz val="10"/>
      <color rgb="FFFFFFFF"/>
      <name val="Arial"/>
      <family val="2"/>
    </font>
    <font>
      <sz val="9"/>
      <color rgb="FF595959"/>
      <name val="Arial"/>
      <family val="2"/>
    </font>
    <font>
      <b/>
      <sz val="9"/>
      <color rgb="FFFFFFFF"/>
      <name val="Arial"/>
      <family val="2"/>
    </font>
    <font>
      <sz val="10"/>
      <color theme="1"/>
      <name val="Arial"/>
      <family val="2"/>
    </font>
    <font>
      <b/>
      <sz val="13"/>
      <color rgb="FF2C3E50"/>
      <name val="Arial"/>
      <family val="2"/>
    </font>
    <font>
      <b/>
      <sz val="10"/>
      <color theme="1"/>
      <name val="Arial"/>
      <family val="2"/>
    </font>
    <font>
      <b/>
      <sz val="10"/>
      <color rgb="FF0000FF"/>
      <name val="Arial"/>
      <family val="2"/>
    </font>
    <font>
      <b/>
      <sz val="9"/>
      <color rgb="FF2E7D32"/>
      <name val="Arial"/>
      <family val="2"/>
    </font>
    <font>
      <i/>
      <sz val="8"/>
      <color rgb="FF7F7F7F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7791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/>
      <diagonal/>
    </border>
    <border>
      <left style="medium">
        <color rgb="FF4472C4"/>
      </left>
      <right style="medium">
        <color rgb="FF4472C4"/>
      </right>
      <top/>
      <bottom style="medium">
        <color rgb="FF4472C4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thin">
        <color rgb="FF2E7D32"/>
      </left>
      <right style="thin">
        <color rgb="FF2E7D32"/>
      </right>
      <top style="thin">
        <color rgb="FF2E7D32"/>
      </top>
      <bottom style="thin">
        <color rgb="FF2E7D32"/>
      </bottom>
      <diagonal/>
    </border>
    <border>
      <left style="thin">
        <color rgb="FFB7791F"/>
      </left>
      <right style="thin">
        <color rgb="FFB7791F"/>
      </right>
      <top style="thin">
        <color rgb="FFB7791F"/>
      </top>
      <bottom style="thin">
        <color rgb="FFB7791F"/>
      </bottom>
      <diagonal/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/>
      <top style="medium">
        <color rgb="FFBFBFBF"/>
      </top>
      <bottom/>
      <diagonal/>
    </border>
    <border>
      <left/>
      <right/>
      <top style="medium">
        <color rgb="FFBFBFBF"/>
      </top>
      <bottom/>
      <diagonal/>
    </border>
    <border>
      <left/>
      <right style="medium">
        <color rgb="FFBFBFBF"/>
      </right>
      <top style="medium">
        <color rgb="FFBFBFBF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9" fillId="0" borderId="0" xfId="0" applyFont="1" applyAlignment="1">
      <alignment vertical="center"/>
    </xf>
    <xf numFmtId="0" fontId="5" fillId="3" borderId="8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8" fillId="0" borderId="8" xfId="0" applyFont="1" applyBorder="1" applyAlignment="1">
      <alignment vertical="center"/>
    </xf>
    <xf numFmtId="0" fontId="14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0" fillId="12" borderId="8" xfId="0" applyFont="1" applyFill="1" applyBorder="1" applyAlignment="1">
      <alignment horizontal="center" vertical="center"/>
    </xf>
    <xf numFmtId="9" fontId="8" fillId="0" borderId="8" xfId="0" applyNumberFormat="1" applyFont="1" applyBorder="1" applyAlignment="1">
      <alignment horizontal="center" vertical="center"/>
    </xf>
    <xf numFmtId="164" fontId="8" fillId="0" borderId="8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left" vertical="center" wrapText="1" indent="1"/>
    </xf>
    <xf numFmtId="0" fontId="8" fillId="7" borderId="5" xfId="0" applyFont="1" applyFill="1" applyBorder="1" applyAlignment="1">
      <alignment horizontal="left" vertical="center" indent="1"/>
    </xf>
    <xf numFmtId="0" fontId="7" fillId="8" borderId="6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left" vertical="center" wrapText="1" indent="1"/>
    </xf>
    <xf numFmtId="0" fontId="8" fillId="9" borderId="6" xfId="0" applyFont="1" applyFill="1" applyBorder="1" applyAlignment="1">
      <alignment horizontal="left" vertical="center" indent="1"/>
    </xf>
    <xf numFmtId="0" fontId="7" fillId="10" borderId="7" xfId="0" applyFont="1" applyFill="1" applyBorder="1" applyAlignment="1">
      <alignment horizontal="center" vertical="center"/>
    </xf>
    <xf numFmtId="0" fontId="8" fillId="11" borderId="7" xfId="0" applyFont="1" applyFill="1" applyBorder="1" applyAlignment="1">
      <alignment horizontal="left" vertical="center" wrapText="1" indent="1"/>
    </xf>
    <xf numFmtId="0" fontId="8" fillId="11" borderId="7" xfId="0" applyFont="1" applyFill="1" applyBorder="1" applyAlignment="1">
      <alignment horizontal="left" vertical="center" indent="1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rgbClr val="4472C4"/>
              </a:solidFill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cat>
            <c:numRef>
              <c:f>Data_Tren!$B$4:$B$19</c:f>
              <c:numCache>
                <c:formatCode>d\ mmm\ yyyy</c:formatCode>
                <c:ptCount val="16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</c:numCache>
            </c:numRef>
          </c:cat>
          <c:val>
            <c:numRef>
              <c:f>Data_Tren!$C$4:$C$19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AC-453F-95AD-A62B357D5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1"/>
        <c:axId val="50010002"/>
      </c:lineChart>
      <c:dateAx>
        <c:axId val="50010001"/>
        <c:scaling>
          <c:orientation val="minMax"/>
        </c:scaling>
        <c:delete val="0"/>
        <c:axPos val="b"/>
        <c:numFmt formatCode="d" sourceLinked="0"/>
        <c:majorTickMark val="out"/>
        <c:minorTickMark val="none"/>
        <c:tickLblPos val="nextTo"/>
        <c:spPr>
          <a:ln>
            <a:solidFill>
              <a:srgbClr val="BFBFBF"/>
            </a:solidFill>
          </a:ln>
        </c:spPr>
        <c:txPr>
          <a:bodyPr/>
          <a:lstStyle/>
          <a:p>
            <a:pPr>
              <a:defRPr sz="800" baseline="0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baseTimeUnit val="days"/>
      </c:dateAx>
      <c:valAx>
        <c:axId val="50010002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</c:plotArea>
    <c:plotVisOnly val="1"/>
    <c:dispBlanksAs val="gap"/>
    <c:showDLblsOverMax val="0"/>
  </c:chart>
  <c:spPr>
    <a:ln w="19050"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5B9BD5"/>
            </a:solidFill>
          </c:spPr>
          <c:invertIfNegative val="0"/>
          <c:cat>
            <c:numRef>
              <c:f>Data_Tren!$B$4:$B$19</c:f>
              <c:numCache>
                <c:formatCode>d\ mmm\ yyyy</c:formatCode>
                <c:ptCount val="16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</c:numCache>
            </c:numRef>
          </c:cat>
          <c:val>
            <c:numRef>
              <c:f>Data_Tren!$D$4:$D$19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DF-448F-9540-97EBFE2D5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50020001"/>
        <c:axId val="50020002"/>
      </c:barChart>
      <c:dateAx>
        <c:axId val="50020001"/>
        <c:scaling>
          <c:orientation val="minMax"/>
        </c:scaling>
        <c:delete val="0"/>
        <c:axPos val="b"/>
        <c:numFmt formatCode="d" sourceLinked="0"/>
        <c:majorTickMark val="out"/>
        <c:minorTickMark val="none"/>
        <c:tickLblPos val="nextTo"/>
        <c:spPr>
          <a:ln>
            <a:solidFill>
              <a:srgbClr val="BFBFBF"/>
            </a:solidFill>
          </a:ln>
        </c:spPr>
        <c:txPr>
          <a:bodyPr/>
          <a:lstStyle/>
          <a:p>
            <a:pPr>
              <a:defRPr sz="800" baseline="0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50020002"/>
        <c:crosses val="autoZero"/>
        <c:auto val="1"/>
        <c:lblOffset val="100"/>
        <c:baseTimeUnit val="days"/>
      </c:dateAx>
      <c:valAx>
        <c:axId val="50020002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50020001"/>
        <c:crosses val="autoZero"/>
        <c:crossBetween val="between"/>
        <c:majorUnit val="1"/>
      </c:valAx>
    </c:plotArea>
    <c:plotVisOnly val="1"/>
    <c:dispBlanksAs val="gap"/>
    <c:showDLblsOverMax val="0"/>
  </c:chart>
  <c:spPr>
    <a:ln w="19050"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472C4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solidFill>
                      <a:srgbClr val="595959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Summary_Lagu!$B$4:$B$9</c:f>
              <c:strCache>
                <c:ptCount val="6"/>
                <c:pt idx="0">
                  <c:v>Hati-Hati di Jalan</c:v>
                </c:pt>
                <c:pt idx="1">
                  <c:v>Serba Salah</c:v>
                </c:pt>
                <c:pt idx="2">
                  <c:v>Sahdu</c:v>
                </c:pt>
                <c:pt idx="3">
                  <c:v>Cinta Luar Biasa</c:v>
                </c:pt>
                <c:pt idx="4">
                  <c:v>Melompat Lebih Tinggi</c:v>
                </c:pt>
                <c:pt idx="5">
                  <c:v>Sesuatu di Jogja</c:v>
                </c:pt>
              </c:strCache>
            </c:strRef>
          </c:cat>
          <c:val>
            <c:numRef>
              <c:f>Summary_Lagu!$C$4:$C$9</c:f>
              <c:numCache>
                <c:formatCode>General</c:formatCode>
                <c:ptCount val="6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6-4448-9738-ADE583BFA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0030001"/>
        <c:axId val="50030002"/>
      </c:barChart>
      <c:catAx>
        <c:axId val="50030001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BFBFBF"/>
            </a:solidFill>
          </a:ln>
        </c:spPr>
        <c:txPr>
          <a:bodyPr/>
          <a:lstStyle/>
          <a:p>
            <a:pPr>
              <a:defRPr sz="800" baseline="0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plotVisOnly val="1"/>
    <c:dispBlanksAs val="gap"/>
    <c:showDLblsOverMax val="0"/>
  </c:chart>
  <c:spPr>
    <a:ln w="19050"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0-0D6F-4D29-8D31-2808DDC03A42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1-0D6F-4D29-8D31-2808DDC03A42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2-0D6F-4D29-8D31-2808DDC03A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Summary_Genre!$B$4:$B$6</c:f>
              <c:strCache>
                <c:ptCount val="3"/>
                <c:pt idx="0">
                  <c:v>Pop</c:v>
                </c:pt>
                <c:pt idx="1">
                  <c:v>Rock</c:v>
                </c:pt>
                <c:pt idx="2">
                  <c:v>Indie</c:v>
                </c:pt>
              </c:strCache>
            </c:strRef>
          </c:cat>
          <c:val>
            <c:numRef>
              <c:f>Summary_Genre!$C$4:$C$6</c:f>
              <c:numCache>
                <c:formatCode>General</c:formatCode>
                <c:ptCount val="3"/>
                <c:pt idx="0">
                  <c:v>15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6F-4D29-8D31-2808DDC03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</c:plotArea>
    <c:legend>
      <c:legendPos val="r"/>
      <c:overlay val="0"/>
      <c:txPr>
        <a:bodyPr/>
        <a:lstStyle/>
        <a:p>
          <a:pPr rtl="0">
            <a:defRPr sz="900" baseline="0">
              <a:solidFill>
                <a:srgbClr val="595959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0"/>
  </c:chart>
  <c:spPr>
    <a:ln w="19050"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8</xdr:col>
      <xdr:colOff>0</xdr:colOff>
      <xdr:row>20</xdr:row>
      <xdr:rowOff>266700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14</xdr:row>
      <xdr:rowOff>0</xdr:rowOff>
    </xdr:from>
    <xdr:to>
      <xdr:col>16</xdr:col>
      <xdr:colOff>0</xdr:colOff>
      <xdr:row>20</xdr:row>
      <xdr:rowOff>266700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22</xdr:row>
      <xdr:rowOff>0</xdr:rowOff>
    </xdr:from>
    <xdr:to>
      <xdr:col>8</xdr:col>
      <xdr:colOff>0</xdr:colOff>
      <xdr:row>28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22</xdr:row>
      <xdr:rowOff>0</xdr:rowOff>
    </xdr:from>
    <xdr:to>
      <xdr:col>16</xdr:col>
      <xdr:colOff>0</xdr:colOff>
      <xdr:row>28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8</xdr:row>
      <xdr:rowOff>0</xdr:rowOff>
    </xdr:from>
    <xdr:to>
      <xdr:col>4</xdr:col>
      <xdr:colOff>0</xdr:colOff>
      <xdr:row>12</xdr:row>
      <xdr:rowOff>0</xdr:rowOff>
    </xdr:to>
    <xdr:sp macro="" textlink="Summary_KPI!$B$4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352425" y="2667000"/>
          <a:ext cx="1943100" cy="1066800"/>
        </a:xfrm>
        <a:prstGeom prst="rect">
          <a:avLst/>
        </a:prstGeom>
        <a:solidFill>
          <a:srgbClr val="DEEAF6"/>
        </a:solidFill>
        <a:ln w="25400" cmpd="sng">
          <a:solidFill>
            <a:srgbClr val="4472C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fld id="{B8ADDEFE-BF52-4FD4-8C5D-6B85EF6FF707}" type="TxLink">
            <a:rPr lang="en-US" sz="2800" b="1">
              <a:solidFill>
                <a:srgbClr val="1F4E78"/>
              </a:solidFill>
              <a:latin typeface="Arial"/>
              <a:cs typeface="Arial"/>
            </a:rPr>
            <a:pPr/>
            <a:t>18</a:t>
          </a:fld>
          <a:endParaRPr lang="en-US" sz="2800" b="1">
            <a:solidFill>
              <a:srgbClr val="1F4E78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1</xdr:col>
      <xdr:colOff>0</xdr:colOff>
      <xdr:row>8</xdr:row>
      <xdr:rowOff>0</xdr:rowOff>
    </xdr:from>
    <xdr:to>
      <xdr:col>4</xdr:col>
      <xdr:colOff>0</xdr:colOff>
      <xdr:row>9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352425" y="2667000"/>
          <a:ext cx="1943100" cy="266700"/>
        </a:xfrm>
        <a:prstGeom prst="rect">
          <a:avLst/>
        </a:prstGeom>
        <a:solidFill>
          <a:srgbClr val="4472C4"/>
        </a:solidFill>
        <a:ln w="25400" cmpd="sng">
          <a:solidFill>
            <a:srgbClr val="4472C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>
              <a:solidFill>
                <a:srgbClr val="FFFFFF"/>
              </a:solidFill>
              <a:latin typeface="Arial"/>
              <a:cs typeface="Arial"/>
            </a:rPr>
            <a:t>Total Plays</a:t>
          </a:r>
        </a:p>
      </xdr:txBody>
    </xdr:sp>
    <xdr:clientData/>
  </xdr:twoCellAnchor>
  <xdr:twoCellAnchor editAs="oneCell">
    <xdr:from>
      <xdr:col>1</xdr:col>
      <xdr:colOff>19050</xdr:colOff>
      <xdr:row>11</xdr:row>
      <xdr:rowOff>0</xdr:rowOff>
    </xdr:from>
    <xdr:to>
      <xdr:col>3</xdr:col>
      <xdr:colOff>628650</xdr:colOff>
      <xdr:row>11</xdr:row>
      <xdr:rowOff>247650</xdr:rowOff>
    </xdr:to>
    <xdr:sp macro="" textlink="Summary_KPI!$B$7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371475" y="3467100"/>
          <a:ext cx="1905000" cy="247650"/>
        </a:xfrm>
        <a:prstGeom prst="rect">
          <a:avLst/>
        </a:prstGeom>
        <a:solidFill>
          <a:srgbClr val="DEEAF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fld id="{B8ADDEFE-BF52-4FD4-8C5D-6B85EF6FF707}" type="TxLink">
            <a:rPr lang="en-US" sz="800" b="1">
              <a:solidFill>
                <a:srgbClr val="2E7D32"/>
              </a:solidFill>
              <a:latin typeface="Arial"/>
              <a:cs typeface="Arial"/>
            </a:rPr>
            <a:pPr/>
            <a:t>● Tercapai (target ≥15)</a:t>
          </a:fld>
          <a:endParaRPr lang="en-US" sz="800" b="1">
            <a:solidFill>
              <a:srgbClr val="2E7D32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5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Summary_KPI!$C$4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466975" y="2667000"/>
          <a:ext cx="1943100" cy="1066800"/>
        </a:xfrm>
        <a:prstGeom prst="rect">
          <a:avLst/>
        </a:prstGeom>
        <a:solidFill>
          <a:srgbClr val="DEEAF6"/>
        </a:solidFill>
        <a:ln w="25400" cmpd="sng">
          <a:solidFill>
            <a:srgbClr val="4472C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fld id="{B8ADDEFE-BF52-4FD4-8C5D-6B85EF6FF707}" type="TxLink">
            <a:rPr lang="en-US" sz="2800" b="1">
              <a:solidFill>
                <a:srgbClr val="1F4E78"/>
              </a:solidFill>
              <a:latin typeface="Arial"/>
              <a:cs typeface="Arial"/>
            </a:rPr>
            <a:pPr/>
            <a:t>3</a:t>
          </a:fld>
          <a:endParaRPr lang="en-US" sz="2800" b="1">
            <a:solidFill>
              <a:srgbClr val="1F4E78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5</xdr:col>
      <xdr:colOff>0</xdr:colOff>
      <xdr:row>8</xdr:row>
      <xdr:rowOff>0</xdr:rowOff>
    </xdr:from>
    <xdr:to>
      <xdr:col>8</xdr:col>
      <xdr:colOff>0</xdr:colOff>
      <xdr:row>9</xdr:row>
      <xdr:rowOff>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2466975" y="2667000"/>
          <a:ext cx="1943100" cy="266700"/>
        </a:xfrm>
        <a:prstGeom prst="rect">
          <a:avLst/>
        </a:prstGeom>
        <a:solidFill>
          <a:srgbClr val="4472C4"/>
        </a:solidFill>
        <a:ln w="25400" cmpd="sng">
          <a:solidFill>
            <a:srgbClr val="4472C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>
              <a:solidFill>
                <a:srgbClr val="FFFFFF"/>
              </a:solidFill>
              <a:latin typeface="Arial"/>
              <a:cs typeface="Arial"/>
            </a:rPr>
            <a:t>Unique Listeners</a:t>
          </a:r>
        </a:p>
      </xdr:txBody>
    </xdr:sp>
    <xdr:clientData/>
  </xdr:twoCellAnchor>
  <xdr:twoCellAnchor editAs="oneCell">
    <xdr:from>
      <xdr:col>5</xdr:col>
      <xdr:colOff>19050</xdr:colOff>
      <xdr:row>11</xdr:row>
      <xdr:rowOff>0</xdr:rowOff>
    </xdr:from>
    <xdr:to>
      <xdr:col>7</xdr:col>
      <xdr:colOff>628650</xdr:colOff>
      <xdr:row>11</xdr:row>
      <xdr:rowOff>247650</xdr:rowOff>
    </xdr:to>
    <xdr:sp macro="" textlink="Summary_KPI!$C$7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486025" y="3467100"/>
          <a:ext cx="1905000" cy="247650"/>
        </a:xfrm>
        <a:prstGeom prst="rect">
          <a:avLst/>
        </a:prstGeom>
        <a:solidFill>
          <a:srgbClr val="DEEAF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fld id="{B8ADDEFE-BF52-4FD4-8C5D-6B85EF6FF707}" type="TxLink">
            <a:rPr lang="en-US" sz="800" b="1">
              <a:solidFill>
                <a:srgbClr val="2E7D32"/>
              </a:solidFill>
              <a:latin typeface="Arial"/>
              <a:cs typeface="Arial"/>
            </a:rPr>
            <a:pPr/>
            <a:t>● Tercapai (target ≥3)</a:t>
          </a:fld>
          <a:endParaRPr lang="en-US" sz="800" b="1">
            <a:solidFill>
              <a:srgbClr val="2E7D32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9</xdr:col>
      <xdr:colOff>0</xdr:colOff>
      <xdr:row>8</xdr:row>
      <xdr:rowOff>0</xdr:rowOff>
    </xdr:from>
    <xdr:to>
      <xdr:col>12</xdr:col>
      <xdr:colOff>0</xdr:colOff>
      <xdr:row>12</xdr:row>
      <xdr:rowOff>0</xdr:rowOff>
    </xdr:to>
    <xdr:sp macro="" textlink="Summary_KPI!$D$4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4581525" y="2667000"/>
          <a:ext cx="1943100" cy="1066800"/>
        </a:xfrm>
        <a:prstGeom prst="rect">
          <a:avLst/>
        </a:prstGeom>
        <a:solidFill>
          <a:srgbClr val="DEEAF6"/>
        </a:solidFill>
        <a:ln w="25400" cmpd="sng">
          <a:solidFill>
            <a:srgbClr val="4472C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fld id="{B8ADDEFE-BF52-4FD4-8C5D-6B85EF6FF707}" type="TxLink">
            <a:rPr lang="en-US" sz="2800" b="1">
              <a:solidFill>
                <a:srgbClr val="1F4E78"/>
              </a:solidFill>
              <a:latin typeface="Arial"/>
              <a:cs typeface="Arial"/>
            </a:rPr>
            <a:pPr/>
            <a:t>6</a:t>
          </a:fld>
          <a:endParaRPr lang="en-US" sz="2800" b="1">
            <a:solidFill>
              <a:srgbClr val="1F4E78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9</xdr:col>
      <xdr:colOff>0</xdr:colOff>
      <xdr:row>8</xdr:row>
      <xdr:rowOff>0</xdr:rowOff>
    </xdr:from>
    <xdr:to>
      <xdr:col>12</xdr:col>
      <xdr:colOff>0</xdr:colOff>
      <xdr:row>9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4581525" y="2667000"/>
          <a:ext cx="1943100" cy="266700"/>
        </a:xfrm>
        <a:prstGeom prst="rect">
          <a:avLst/>
        </a:prstGeom>
        <a:solidFill>
          <a:srgbClr val="4472C4"/>
        </a:solidFill>
        <a:ln w="25400" cmpd="sng">
          <a:solidFill>
            <a:srgbClr val="4472C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>
              <a:solidFill>
                <a:srgbClr val="FFFFFF"/>
              </a:solidFill>
              <a:latin typeface="Arial"/>
              <a:cs typeface="Arial"/>
            </a:rPr>
            <a:t>Unique Songs Played</a:t>
          </a:r>
        </a:p>
      </xdr:txBody>
    </xdr:sp>
    <xdr:clientData/>
  </xdr:twoCellAnchor>
  <xdr:twoCellAnchor editAs="oneCell">
    <xdr:from>
      <xdr:col>9</xdr:col>
      <xdr:colOff>19050</xdr:colOff>
      <xdr:row>11</xdr:row>
      <xdr:rowOff>0</xdr:rowOff>
    </xdr:from>
    <xdr:to>
      <xdr:col>11</xdr:col>
      <xdr:colOff>628650</xdr:colOff>
      <xdr:row>11</xdr:row>
      <xdr:rowOff>247650</xdr:rowOff>
    </xdr:to>
    <xdr:sp macro="" textlink="Summary_KPI!$D$7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600575" y="3467100"/>
          <a:ext cx="1905000" cy="247650"/>
        </a:xfrm>
        <a:prstGeom prst="rect">
          <a:avLst/>
        </a:prstGeom>
        <a:solidFill>
          <a:srgbClr val="DEEAF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fld id="{B8ADDEFE-BF52-4FD4-8C5D-6B85EF6FF707}" type="TxLink">
            <a:rPr lang="en-US" sz="800" b="1">
              <a:solidFill>
                <a:srgbClr val="2E7D32"/>
              </a:solidFill>
              <a:latin typeface="Arial"/>
              <a:cs typeface="Arial"/>
            </a:rPr>
            <a:pPr/>
            <a:t>● Tercapai (target ≥5)</a:t>
          </a:fld>
          <a:endParaRPr lang="en-US" sz="800" b="1">
            <a:solidFill>
              <a:srgbClr val="2E7D32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16</xdr:col>
      <xdr:colOff>0</xdr:colOff>
      <xdr:row>12</xdr:row>
      <xdr:rowOff>0</xdr:rowOff>
    </xdr:to>
    <xdr:sp macro="" textlink="Summary_KPI!$E$4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6696075" y="2667000"/>
          <a:ext cx="1943100" cy="1066800"/>
        </a:xfrm>
        <a:prstGeom prst="rect">
          <a:avLst/>
        </a:prstGeom>
        <a:solidFill>
          <a:srgbClr val="DEEAF6"/>
        </a:solidFill>
        <a:ln w="25400" cmpd="sng">
          <a:solidFill>
            <a:srgbClr val="4472C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fld id="{B8ADDEFE-BF52-4FD4-8C5D-6B85EF6FF707}" type="TxLink">
            <a:rPr lang="en-US" sz="2800" b="1">
              <a:solidFill>
                <a:srgbClr val="1F4E78"/>
              </a:solidFill>
              <a:latin typeface="Arial"/>
              <a:cs typeface="Arial"/>
            </a:rPr>
            <a:pPr/>
            <a:t>6</a:t>
          </a:fld>
          <a:endParaRPr lang="en-US" sz="2800" b="1">
            <a:solidFill>
              <a:srgbClr val="1F4E78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16</xdr:col>
      <xdr:colOff>0</xdr:colOff>
      <xdr:row>9</xdr:row>
      <xdr:rowOff>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6696075" y="2667000"/>
          <a:ext cx="1943100" cy="266700"/>
        </a:xfrm>
        <a:prstGeom prst="rect">
          <a:avLst/>
        </a:prstGeom>
        <a:solidFill>
          <a:srgbClr val="4472C4"/>
        </a:solidFill>
        <a:ln w="25400" cmpd="sng">
          <a:solidFill>
            <a:srgbClr val="4472C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>
              <a:solidFill>
                <a:srgbClr val="FFFFFF"/>
              </a:solidFill>
              <a:latin typeface="Arial"/>
              <a:cs typeface="Arial"/>
            </a:rPr>
            <a:t>Average Plays per Listener</a:t>
          </a:r>
        </a:p>
      </xdr:txBody>
    </xdr:sp>
    <xdr:clientData/>
  </xdr:twoCellAnchor>
  <xdr:twoCellAnchor editAs="oneCell">
    <xdr:from>
      <xdr:col>13</xdr:col>
      <xdr:colOff>19050</xdr:colOff>
      <xdr:row>11</xdr:row>
      <xdr:rowOff>0</xdr:rowOff>
    </xdr:from>
    <xdr:to>
      <xdr:col>15</xdr:col>
      <xdr:colOff>628650</xdr:colOff>
      <xdr:row>11</xdr:row>
      <xdr:rowOff>247650</xdr:rowOff>
    </xdr:to>
    <xdr:sp macro="" textlink="Summary_KPI!$E$7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6715125" y="3467100"/>
          <a:ext cx="1905000" cy="247650"/>
        </a:xfrm>
        <a:prstGeom prst="rect">
          <a:avLst/>
        </a:prstGeom>
        <a:solidFill>
          <a:srgbClr val="DEEAF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fld id="{B8ADDEFE-BF52-4FD4-8C5D-6B85EF6FF707}" type="TxLink">
            <a:rPr lang="en-US" sz="800" b="1">
              <a:solidFill>
                <a:srgbClr val="2E7D32"/>
              </a:solidFill>
              <a:latin typeface="Arial"/>
              <a:cs typeface="Arial"/>
            </a:rPr>
            <a:pPr/>
            <a:t>● Tercapai (target ≥5)</a:t>
          </a:fld>
          <a:endParaRPr lang="en-US" sz="800" b="1">
            <a:solidFill>
              <a:srgbClr val="2E7D32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5"/>
  <sheetViews>
    <sheetView showGridLines="0" tabSelected="1" zoomScale="51" zoomScaleNormal="51" workbookViewId="0">
      <selection activeCell="A2" sqref="A2"/>
    </sheetView>
  </sheetViews>
  <sheetFormatPr defaultRowHeight="14.4"/>
  <cols>
    <col min="1" max="1" width="5.33203125" customWidth="1"/>
    <col min="2" max="4" width="9.6640625" customWidth="1"/>
    <col min="5" max="5" width="2.5546875" customWidth="1"/>
    <col min="6" max="8" width="9.6640625" customWidth="1"/>
    <col min="9" max="9" width="2.5546875" customWidth="1"/>
    <col min="10" max="12" width="9.6640625" customWidth="1"/>
    <col min="13" max="13" width="2.5546875" customWidth="1"/>
    <col min="14" max="16" width="9.6640625" customWidth="1"/>
    <col min="17" max="17" width="3.6640625" customWidth="1"/>
  </cols>
  <sheetData>
    <row r="1" spans="1:16" ht="21" customHeight="1"/>
    <row r="2" spans="1:16" ht="21" customHeight="1">
      <c r="A2" s="34">
        <v>1</v>
      </c>
      <c r="B2" s="15" t="s">
        <v>71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16" ht="21" customHeight="1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1:16" ht="21" customHeight="1">
      <c r="B4" s="16" t="s">
        <v>72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1:16" ht="21" customHeight="1" thickBot="1"/>
    <row r="6" spans="1:16" ht="21" customHeight="1">
      <c r="A6" s="34"/>
      <c r="B6" s="18" t="s">
        <v>73</v>
      </c>
      <c r="C6" s="18"/>
      <c r="D6" s="18"/>
      <c r="F6" s="18" t="s">
        <v>75</v>
      </c>
      <c r="G6" s="18"/>
      <c r="H6" s="18"/>
      <c r="J6" s="18" t="s">
        <v>77</v>
      </c>
      <c r="K6" s="18"/>
      <c r="L6" s="18"/>
      <c r="N6" s="18" t="s">
        <v>79</v>
      </c>
      <c r="O6" s="18"/>
      <c r="P6" s="18"/>
    </row>
    <row r="7" spans="1:16" ht="21" customHeight="1" thickBot="1">
      <c r="B7" s="19" t="s">
        <v>74</v>
      </c>
      <c r="C7" s="19"/>
      <c r="D7" s="19"/>
      <c r="F7" s="19" t="s">
        <v>76</v>
      </c>
      <c r="G7" s="19"/>
      <c r="H7" s="19"/>
      <c r="J7" s="19" t="s">
        <v>78</v>
      </c>
      <c r="K7" s="19"/>
      <c r="L7" s="19"/>
      <c r="N7" s="19" t="s">
        <v>80</v>
      </c>
      <c r="O7" s="19"/>
      <c r="P7" s="19"/>
    </row>
    <row r="8" spans="1:16" ht="21" customHeight="1"/>
    <row r="9" spans="1:16" ht="21" customHeight="1"/>
    <row r="10" spans="1:16" ht="21" customHeight="1"/>
    <row r="11" spans="1:16" ht="21" customHeight="1">
      <c r="A11" s="34">
        <v>2</v>
      </c>
    </row>
    <row r="12" spans="1:16" ht="21" customHeight="1"/>
    <row r="13" spans="1:16" ht="21" customHeight="1" thickBot="1"/>
    <row r="14" spans="1:16" ht="21" customHeight="1">
      <c r="B14" s="31" t="s">
        <v>81</v>
      </c>
      <c r="C14" s="32"/>
      <c r="D14" s="32"/>
      <c r="E14" s="32"/>
      <c r="F14" s="32"/>
      <c r="G14" s="32"/>
      <c r="H14" s="33"/>
      <c r="J14" s="20" t="s">
        <v>82</v>
      </c>
      <c r="K14" s="20"/>
      <c r="L14" s="20"/>
      <c r="M14" s="20"/>
      <c r="N14" s="20"/>
      <c r="O14" s="20"/>
      <c r="P14" s="20"/>
    </row>
    <row r="15" spans="1:16" ht="21" customHeight="1"/>
    <row r="16" spans="1:16" ht="21" customHeight="1"/>
    <row r="17" spans="1:16" ht="21" customHeight="1">
      <c r="A17" s="34">
        <v>3</v>
      </c>
    </row>
    <row r="18" spans="1:16" ht="28.05" customHeight="1"/>
    <row r="19" spans="1:16" ht="28.05" customHeight="1"/>
    <row r="20" spans="1:16" ht="28.05" customHeight="1"/>
    <row r="21" spans="1:16" ht="28.05" customHeight="1" thickBot="1"/>
    <row r="22" spans="1:16" ht="28.05" customHeight="1">
      <c r="B22" s="20" t="s">
        <v>83</v>
      </c>
      <c r="C22" s="20"/>
      <c r="D22" s="20"/>
      <c r="E22" s="20"/>
      <c r="F22" s="20"/>
      <c r="G22" s="20"/>
      <c r="H22" s="20"/>
      <c r="J22" s="20" t="s">
        <v>84</v>
      </c>
      <c r="K22" s="20"/>
      <c r="L22" s="20"/>
      <c r="M22" s="20"/>
      <c r="N22" s="20"/>
      <c r="O22" s="20"/>
      <c r="P22" s="20"/>
    </row>
    <row r="23" spans="1:16" ht="28.05" customHeight="1"/>
    <row r="24" spans="1:16" ht="21" customHeight="1"/>
    <row r="25" spans="1:16" ht="21" customHeight="1"/>
    <row r="26" spans="1:16" ht="28.05" customHeight="1"/>
    <row r="27" spans="1:16" ht="28.05" customHeight="1"/>
    <row r="28" spans="1:16" ht="28.05" customHeight="1"/>
    <row r="29" spans="1:16" ht="28.05" customHeight="1"/>
    <row r="30" spans="1:16" ht="28.05" customHeight="1">
      <c r="B30" s="17" t="s">
        <v>85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</row>
    <row r="31" spans="1:16" ht="28.05" customHeight="1">
      <c r="B31" s="21" t="s">
        <v>86</v>
      </c>
      <c r="C31" s="21"/>
      <c r="D31" s="21"/>
      <c r="E31" s="22" t="str">
        <f>INDEX(Summary_Lagu!B4:B9,MATCH(MAX(Summary_Lagu!C4:C9),Summary_Lagu!C4:C9,0))&amp;" menjadi lagu terpopuler ("&amp;MAX(Summary_Lagu!C4:C9)&amp;" plays). Bisa jadi acuan untuk playlist bertema serupa."</f>
        <v>Hati-Hati di Jalan menjadi lagu terpopuler (5 plays). Bisa jadi acuan untuk playlist bertema serupa.</v>
      </c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</row>
    <row r="32" spans="1:16" ht="21" customHeight="1">
      <c r="B32" s="21"/>
      <c r="C32" s="21"/>
      <c r="D32" s="21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</row>
    <row r="33" spans="1:16" ht="21" customHeight="1">
      <c r="B33" s="24" t="s">
        <v>87</v>
      </c>
      <c r="C33" s="24"/>
      <c r="D33" s="24"/>
      <c r="E33" s="25" t="str">
        <f>INDEX(Summary_Genre!B4:B6,MATCH(MAX(Summary_Genre!C4:C6),Summary_Genre!C4:C6,0))&amp;" menyumbang "&amp;MAX(Summary_Genre!C4:C6)&amp;" dari "&amp;Summary_Genre!C7&amp;" plays ("&amp;TEXT(MAX(Summary_Genre!C4:C6)/Summary_Genre!C7,"0%")&amp;"). Perlu variasi dengan genre lain agar pasar lebih luas."</f>
        <v>Pop menyumbang 15 dari 18 plays (83%). Perlu variasi dengan genre lain agar pasar lebih luas.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</row>
    <row r="34" spans="1:16" ht="21" customHeight="1">
      <c r="A34" s="34">
        <v>5</v>
      </c>
      <c r="B34" s="24"/>
      <c r="C34" s="24"/>
      <c r="D34" s="24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</row>
    <row r="35" spans="1:16" ht="21" customHeight="1">
      <c r="B35" s="27" t="s">
        <v>88</v>
      </c>
      <c r="C35" s="27"/>
      <c r="D35" s="27"/>
      <c r="E35" s="28" t="str">
        <f>"Rata-rata "&amp;Summary_KPI!E4&amp;" plays per pendengar tergolong sedang. Rekomendasi lagu dan notifikasi bisa ditingkatkan."</f>
        <v>Rata-rata 6 plays per pendengar tergolong sedang. Rekomendasi lagu dan notifikasi bisa ditingkatkan.</v>
      </c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</row>
    <row r="36" spans="1:16" ht="21" customHeight="1">
      <c r="B36" s="27"/>
      <c r="C36" s="27"/>
      <c r="D36" s="27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</row>
    <row r="37" spans="1:16" ht="21" customHeight="1"/>
    <row r="38" spans="1:16" ht="21" customHeight="1"/>
    <row r="39" spans="1:16" ht="21" customHeight="1"/>
    <row r="40" spans="1:16" ht="21" customHeight="1"/>
    <row r="41" spans="1:16" ht="21" customHeight="1"/>
    <row r="42" spans="1:16" ht="21" customHeight="1"/>
    <row r="43" spans="1:16" ht="21" customHeight="1"/>
    <row r="44" spans="1:16" ht="21" customHeight="1"/>
    <row r="45" spans="1:16" ht="21" customHeight="1"/>
  </sheetData>
  <mergeCells count="21">
    <mergeCell ref="B35:D36"/>
    <mergeCell ref="E35:P36"/>
    <mergeCell ref="B30:P30"/>
    <mergeCell ref="B31:D32"/>
    <mergeCell ref="E31:P32"/>
    <mergeCell ref="B33:D34"/>
    <mergeCell ref="E33:P34"/>
    <mergeCell ref="B14:H14"/>
    <mergeCell ref="J14:P14"/>
    <mergeCell ref="B22:H22"/>
    <mergeCell ref="J22:P22"/>
    <mergeCell ref="B2:P3"/>
    <mergeCell ref="B4:P4"/>
    <mergeCell ref="B6:D6"/>
    <mergeCell ref="B7:D7"/>
    <mergeCell ref="F6:H6"/>
    <mergeCell ref="F7:H7"/>
    <mergeCell ref="J6:L6"/>
    <mergeCell ref="J7:L7"/>
    <mergeCell ref="N6:P6"/>
    <mergeCell ref="N7:P7"/>
  </mergeCells>
  <pageMargins left="0.3" right="0.3" top="0.3" bottom="0.3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9"/>
  <sheetViews>
    <sheetView showGridLines="0" workbookViewId="0"/>
  </sheetViews>
  <sheetFormatPr defaultRowHeight="14.4"/>
  <cols>
    <col min="1" max="1" width="2.6640625" customWidth="1"/>
    <col min="2" max="5" width="26.6640625" customWidth="1"/>
  </cols>
  <sheetData>
    <row r="1" spans="2:5" ht="16.8">
      <c r="B1" s="1" t="s">
        <v>65</v>
      </c>
    </row>
    <row r="3" spans="2:5">
      <c r="B3" s="2" t="s">
        <v>41</v>
      </c>
      <c r="C3" s="2" t="s">
        <v>44</v>
      </c>
      <c r="D3" s="2" t="s">
        <v>47</v>
      </c>
      <c r="E3" s="2" t="s">
        <v>50</v>
      </c>
    </row>
    <row r="4" spans="2:5">
      <c r="B4" s="3">
        <f>SUM(Summary_Lagu!C4:C9)</f>
        <v>18</v>
      </c>
      <c r="C4" s="4">
        <v>3</v>
      </c>
      <c r="D4" s="3">
        <f>COUNTIF(Summary_Lagu!C4:C9,"&gt;0")</f>
        <v>6</v>
      </c>
      <c r="E4" s="3">
        <f>ROUND(B4/C4,1)</f>
        <v>6</v>
      </c>
    </row>
    <row r="6" spans="2:5">
      <c r="B6" s="30" t="s">
        <v>66</v>
      </c>
      <c r="C6" s="30"/>
      <c r="D6" s="30"/>
      <c r="E6" s="30"/>
    </row>
    <row r="7" spans="2:5">
      <c r="B7" s="5" t="str">
        <f>IF(B4&gt;=15,"● Tercapai (target ≥15)",IF(B4&gt;=10,"● Waspada (10–14)","● Rendah (&lt;10)"))</f>
        <v>● Tercapai (target ≥15)</v>
      </c>
      <c r="C7" s="5" t="str">
        <f>IF(C4&gt;=3,"● Tercapai (target ≥3)",IF(C4=2,"● Waspada (2)","● Rendah (≤1)"))</f>
        <v>● Tercapai (target ≥3)</v>
      </c>
      <c r="D7" s="5" t="str">
        <f>IF(D4&gt;=5,"● Tercapai (target ≥5)",IF(D4&gt;=3,"● Waspada (3–4)","● Rendah (&lt;3)"))</f>
        <v>● Tercapai (target ≥5)</v>
      </c>
      <c r="E7" s="5" t="str">
        <f>IF(E4&gt;=5,"● Tercapai (target ≥5)",IF(E4&gt;=3,"● Waspada (3–5)","● Rendah (&lt;3)"))</f>
        <v>● Tercapai (target ≥5)</v>
      </c>
    </row>
    <row r="9" spans="2:5">
      <c r="B9" s="6" t="s">
        <v>67</v>
      </c>
    </row>
  </sheetData>
  <mergeCells count="1">
    <mergeCell ref="B6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2"/>
  <sheetViews>
    <sheetView showGridLines="0" workbookViewId="0"/>
  </sheetViews>
  <sheetFormatPr defaultRowHeight="14.4"/>
  <cols>
    <col min="1" max="1" width="2.6640625" customWidth="1"/>
    <col min="2" max="2" width="26.6640625" customWidth="1"/>
    <col min="3" max="4" width="14.6640625" customWidth="1"/>
  </cols>
  <sheetData>
    <row r="1" spans="2:4" ht="16.8">
      <c r="B1" s="1" t="s">
        <v>56</v>
      </c>
    </row>
    <row r="3" spans="2:4">
      <c r="B3" s="2" t="s">
        <v>57</v>
      </c>
      <c r="C3" s="2" t="s">
        <v>41</v>
      </c>
      <c r="D3" s="2" t="s">
        <v>58</v>
      </c>
    </row>
    <row r="4" spans="2:4">
      <c r="B4" s="7" t="s">
        <v>20</v>
      </c>
      <c r="C4" s="8">
        <v>5</v>
      </c>
      <c r="D4" s="9" t="str">
        <f>PROPER(TRIM(INDEX('4_songs'!$E$2:$E$7,MATCH(B4,'4_songs'!$B$2:$B$7,0))))</f>
        <v>Pop</v>
      </c>
    </row>
    <row r="5" spans="2:4">
      <c r="B5" s="7" t="s">
        <v>26</v>
      </c>
      <c r="C5" s="8">
        <v>4</v>
      </c>
      <c r="D5" s="9" t="str">
        <f>PROPER(TRIM(INDEX('4_songs'!$E$2:$E$7,MATCH(B5,'4_songs'!$B$2:$B$7,0))))</f>
        <v>Pop</v>
      </c>
    </row>
    <row r="6" spans="2:4">
      <c r="B6" s="7" t="s">
        <v>23</v>
      </c>
      <c r="C6" s="8">
        <v>4</v>
      </c>
      <c r="D6" s="9" t="str">
        <f>PROPER(TRIM(INDEX('4_songs'!$E$2:$E$7,MATCH(B6,'4_songs'!$B$2:$B$7,0))))</f>
        <v>Pop</v>
      </c>
    </row>
    <row r="7" spans="2:4">
      <c r="B7" s="7" t="s">
        <v>29</v>
      </c>
      <c r="C7" s="8">
        <v>2</v>
      </c>
      <c r="D7" s="9" t="str">
        <f>PROPER(TRIM(INDEX('4_songs'!$E$2:$E$7,MATCH(B7,'4_songs'!$B$2:$B$7,0))))</f>
        <v>Pop</v>
      </c>
    </row>
    <row r="8" spans="2:4">
      <c r="B8" s="7" t="s">
        <v>35</v>
      </c>
      <c r="C8" s="8">
        <v>2</v>
      </c>
      <c r="D8" s="9" t="str">
        <f>PROPER(TRIM(INDEX('4_songs'!$E$2:$E$7,MATCH(B8,'4_songs'!$B$2:$B$7,0))))</f>
        <v>Rock</v>
      </c>
    </row>
    <row r="9" spans="2:4">
      <c r="B9" s="7" t="s">
        <v>32</v>
      </c>
      <c r="C9" s="8">
        <v>1</v>
      </c>
      <c r="D9" s="9" t="str">
        <f>PROPER(TRIM(INDEX('4_songs'!$E$2:$E$7,MATCH(B9,'4_songs'!$B$2:$B$7,0))))</f>
        <v>Indie</v>
      </c>
    </row>
    <row r="10" spans="2:4">
      <c r="B10" s="10" t="s">
        <v>59</v>
      </c>
      <c r="C10" s="10">
        <f>SUM(C4:C9)</f>
        <v>18</v>
      </c>
      <c r="D10" s="10"/>
    </row>
    <row r="12" spans="2:4">
      <c r="B12" s="6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9"/>
  <sheetViews>
    <sheetView showGridLines="0" workbookViewId="0"/>
  </sheetViews>
  <sheetFormatPr defaultRowHeight="14.4"/>
  <cols>
    <col min="1" max="1" width="2.6640625" customWidth="1"/>
    <col min="2" max="2" width="20.6640625" customWidth="1"/>
    <col min="3" max="4" width="14.6640625" customWidth="1"/>
  </cols>
  <sheetData>
    <row r="1" spans="2:4" ht="16.8">
      <c r="B1" s="1" t="s">
        <v>61</v>
      </c>
    </row>
    <row r="3" spans="2:4">
      <c r="B3" s="2" t="s">
        <v>58</v>
      </c>
      <c r="C3" s="2" t="s">
        <v>41</v>
      </c>
      <c r="D3" s="2" t="s">
        <v>62</v>
      </c>
    </row>
    <row r="4" spans="2:4">
      <c r="B4" s="7" t="s">
        <v>30</v>
      </c>
      <c r="C4" s="9">
        <f>SUMIF(Summary_Lagu!$D$4:$D$9,B4,Summary_Lagu!$C$4:$C$9)</f>
        <v>15</v>
      </c>
      <c r="D4" s="11">
        <f>C4/$C$7</f>
        <v>0.83333333333333337</v>
      </c>
    </row>
    <row r="5" spans="2:4">
      <c r="B5" s="7" t="s">
        <v>63</v>
      </c>
      <c r="C5" s="9">
        <f>SUMIF(Summary_Lagu!$D$4:$D$9,B5,Summary_Lagu!$C$4:$C$9)</f>
        <v>2</v>
      </c>
      <c r="D5" s="11">
        <f>C5/$C$7</f>
        <v>0.1111111111111111</v>
      </c>
    </row>
    <row r="6" spans="2:4">
      <c r="B6" s="7" t="s">
        <v>64</v>
      </c>
      <c r="C6" s="9">
        <f>SUMIF(Summary_Lagu!$D$4:$D$9,B6,Summary_Lagu!$C$4:$C$9)</f>
        <v>1</v>
      </c>
      <c r="D6" s="11">
        <f>C6/$C$7</f>
        <v>5.5555555555555552E-2</v>
      </c>
    </row>
    <row r="7" spans="2:4">
      <c r="B7" s="10" t="s">
        <v>59</v>
      </c>
      <c r="C7" s="10">
        <f>SUM(C4:C6)</f>
        <v>18</v>
      </c>
      <c r="D7" s="10"/>
    </row>
    <row r="9" spans="2:4">
      <c r="B9" s="6" t="str">
        <f>IF(C7=Summary_Lagu!C10,"✔ Sesuai dengan total plays per lagu","Periksa: total tidak sama")</f>
        <v>✔ Sesuai dengan total plays per lagu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23"/>
  <sheetViews>
    <sheetView showGridLines="0" workbookViewId="0"/>
  </sheetViews>
  <sheetFormatPr defaultRowHeight="14.4"/>
  <cols>
    <col min="1" max="1" width="2.6640625" customWidth="1"/>
    <col min="2" max="4" width="18.6640625" customWidth="1"/>
  </cols>
  <sheetData>
    <row r="1" spans="2:4" ht="16.8">
      <c r="B1" s="1" t="s">
        <v>68</v>
      </c>
    </row>
    <row r="3" spans="2:4">
      <c r="B3" s="2" t="s">
        <v>69</v>
      </c>
      <c r="C3" s="2" t="s">
        <v>41</v>
      </c>
      <c r="D3" s="2" t="s">
        <v>44</v>
      </c>
    </row>
    <row r="4" spans="2:4">
      <c r="B4" s="12">
        <v>46235</v>
      </c>
      <c r="C4" s="8">
        <v>1</v>
      </c>
      <c r="D4" s="8">
        <v>1</v>
      </c>
    </row>
    <row r="5" spans="2:4">
      <c r="B5" s="12">
        <v>46236</v>
      </c>
      <c r="C5" s="8">
        <v>2</v>
      </c>
      <c r="D5" s="8">
        <v>1</v>
      </c>
    </row>
    <row r="6" spans="2:4">
      <c r="B6" s="12">
        <v>46237</v>
      </c>
      <c r="C6" s="8">
        <v>1</v>
      </c>
      <c r="D6" s="8">
        <v>1</v>
      </c>
    </row>
    <row r="7" spans="2:4">
      <c r="B7" s="12">
        <v>46238</v>
      </c>
      <c r="C7" s="8">
        <v>2</v>
      </c>
      <c r="D7" s="8">
        <v>2</v>
      </c>
    </row>
    <row r="8" spans="2:4">
      <c r="B8" s="12">
        <v>46239</v>
      </c>
      <c r="C8" s="8">
        <v>0</v>
      </c>
      <c r="D8" s="8">
        <v>0</v>
      </c>
    </row>
    <row r="9" spans="2:4">
      <c r="B9" s="12">
        <v>46240</v>
      </c>
      <c r="C9" s="8">
        <v>2</v>
      </c>
      <c r="D9" s="8">
        <v>2</v>
      </c>
    </row>
    <row r="10" spans="2:4">
      <c r="B10" s="12">
        <v>46241</v>
      </c>
      <c r="C10" s="8">
        <v>0</v>
      </c>
      <c r="D10" s="8">
        <v>0</v>
      </c>
    </row>
    <row r="11" spans="2:4">
      <c r="B11" s="12">
        <v>46242</v>
      </c>
      <c r="C11" s="8">
        <v>2</v>
      </c>
      <c r="D11" s="8">
        <v>1</v>
      </c>
    </row>
    <row r="12" spans="2:4">
      <c r="B12" s="12">
        <v>46243</v>
      </c>
      <c r="C12" s="8">
        <v>1</v>
      </c>
      <c r="D12" s="8">
        <v>1</v>
      </c>
    </row>
    <row r="13" spans="2:4">
      <c r="B13" s="12">
        <v>46244</v>
      </c>
      <c r="C13" s="8">
        <v>0</v>
      </c>
      <c r="D13" s="8">
        <v>0</v>
      </c>
    </row>
    <row r="14" spans="2:4">
      <c r="B14" s="12">
        <v>46245</v>
      </c>
      <c r="C14" s="8">
        <v>2</v>
      </c>
      <c r="D14" s="8">
        <v>2</v>
      </c>
    </row>
    <row r="15" spans="2:4">
      <c r="B15" s="12">
        <v>46246</v>
      </c>
      <c r="C15" s="8">
        <v>1</v>
      </c>
      <c r="D15" s="8">
        <v>1</v>
      </c>
    </row>
    <row r="16" spans="2:4">
      <c r="B16" s="12">
        <v>46247</v>
      </c>
      <c r="C16" s="8">
        <v>2</v>
      </c>
      <c r="D16" s="8">
        <v>2</v>
      </c>
    </row>
    <row r="17" spans="2:4">
      <c r="B17" s="12">
        <v>46248</v>
      </c>
      <c r="C17" s="8">
        <v>0</v>
      </c>
      <c r="D17" s="8">
        <v>0</v>
      </c>
    </row>
    <row r="18" spans="2:4">
      <c r="B18" s="12">
        <v>46249</v>
      </c>
      <c r="C18" s="8">
        <v>0</v>
      </c>
      <c r="D18" s="8">
        <v>0</v>
      </c>
    </row>
    <row r="19" spans="2:4">
      <c r="B19" s="12">
        <v>46250</v>
      </c>
      <c r="C19" s="8">
        <v>2</v>
      </c>
      <c r="D19" s="8">
        <v>2</v>
      </c>
    </row>
    <row r="20" spans="2:4">
      <c r="B20" s="10" t="s">
        <v>59</v>
      </c>
      <c r="C20" s="10">
        <f>SUM(C4:C19)</f>
        <v>18</v>
      </c>
      <c r="D20" s="10"/>
    </row>
    <row r="22" spans="2:4">
      <c r="B22" s="6" t="str">
        <f>IF(C20=Summary_KPI!B4,"✔ Sesuai dengan KPI Total Plays","Periksa")</f>
        <v>✔ Sesuai dengan KPI Total Plays</v>
      </c>
    </row>
    <row r="23" spans="2:4">
      <c r="B23" s="6" t="s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workbookViewId="0"/>
  </sheetViews>
  <sheetFormatPr defaultRowHeight="14.4"/>
  <cols>
    <col min="1" max="6" width="24.664062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4">
        <v>101</v>
      </c>
      <c r="B2" s="14" t="s">
        <v>3</v>
      </c>
      <c r="C2" s="14" t="s">
        <v>4</v>
      </c>
    </row>
    <row r="3" spans="1:3">
      <c r="A3" s="14">
        <v>102</v>
      </c>
      <c r="B3" s="14" t="s">
        <v>5</v>
      </c>
      <c r="C3" s="14" t="s">
        <v>6</v>
      </c>
    </row>
    <row r="4" spans="1:3">
      <c r="A4" s="14">
        <v>103</v>
      </c>
      <c r="B4" s="14" t="s">
        <v>7</v>
      </c>
      <c r="C4" s="14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/>
  </sheetViews>
  <sheetFormatPr defaultRowHeight="14.4"/>
  <cols>
    <col min="1" max="6" width="24.6640625" customWidth="1"/>
  </cols>
  <sheetData>
    <row r="1" spans="1:2">
      <c r="A1" s="13" t="s">
        <v>9</v>
      </c>
      <c r="B1" s="13" t="s">
        <v>10</v>
      </c>
    </row>
    <row r="2" spans="1:2">
      <c r="A2" s="14">
        <v>501</v>
      </c>
      <c r="B2" s="14" t="s">
        <v>11</v>
      </c>
    </row>
    <row r="3" spans="1:2">
      <c r="A3" s="14">
        <v>502</v>
      </c>
      <c r="B3" s="14" t="s">
        <v>12</v>
      </c>
    </row>
    <row r="4" spans="1:2">
      <c r="A4" s="14">
        <v>503</v>
      </c>
      <c r="B4" s="14" t="s">
        <v>13</v>
      </c>
    </row>
    <row r="5" spans="1:2">
      <c r="A5" s="14">
        <v>504</v>
      </c>
      <c r="B5" s="14" t="s">
        <v>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"/>
  <sheetViews>
    <sheetView workbookViewId="0"/>
  </sheetViews>
  <sheetFormatPr defaultRowHeight="14.4"/>
  <cols>
    <col min="1" max="6" width="24.6640625" customWidth="1"/>
  </cols>
  <sheetData>
    <row r="1" spans="1:6">
      <c r="A1" s="13" t="s">
        <v>15</v>
      </c>
      <c r="B1" s="13" t="s">
        <v>16</v>
      </c>
      <c r="C1" s="13" t="s">
        <v>17</v>
      </c>
      <c r="D1" s="13" t="s">
        <v>9</v>
      </c>
      <c r="E1" s="13" t="s">
        <v>18</v>
      </c>
      <c r="F1" s="13" t="s">
        <v>19</v>
      </c>
    </row>
    <row r="2" spans="1:6">
      <c r="A2" s="14">
        <v>9001</v>
      </c>
      <c r="B2" s="14" t="s">
        <v>20</v>
      </c>
      <c r="C2" s="14">
        <v>258</v>
      </c>
      <c r="D2" s="14">
        <v>501</v>
      </c>
      <c r="E2" s="14" t="s">
        <v>21</v>
      </c>
      <c r="F2" s="14" t="s">
        <v>22</v>
      </c>
    </row>
    <row r="3" spans="1:6">
      <c r="A3" s="14">
        <v>9002</v>
      </c>
      <c r="B3" s="14" t="s">
        <v>23</v>
      </c>
      <c r="C3" s="14">
        <v>231</v>
      </c>
      <c r="D3" s="14">
        <v>501</v>
      </c>
      <c r="E3" s="14" t="s">
        <v>24</v>
      </c>
      <c r="F3" s="14" t="s">
        <v>25</v>
      </c>
    </row>
    <row r="4" spans="1:6">
      <c r="A4" s="14">
        <v>9003</v>
      </c>
      <c r="B4" s="14" t="s">
        <v>26</v>
      </c>
      <c r="C4" s="14">
        <v>244</v>
      </c>
      <c r="D4" s="14">
        <v>502</v>
      </c>
      <c r="E4" s="14" t="s">
        <v>27</v>
      </c>
      <c r="F4" s="14" t="s">
        <v>28</v>
      </c>
    </row>
    <row r="5" spans="1:6">
      <c r="A5" s="14">
        <v>9004</v>
      </c>
      <c r="B5" s="14" t="s">
        <v>29</v>
      </c>
      <c r="C5" s="14">
        <v>267</v>
      </c>
      <c r="D5" s="14">
        <v>502</v>
      </c>
      <c r="E5" s="14" t="s">
        <v>30</v>
      </c>
      <c r="F5" s="14" t="s">
        <v>31</v>
      </c>
    </row>
    <row r="6" spans="1:6">
      <c r="A6" s="14">
        <v>9005</v>
      </c>
      <c r="B6" s="14" t="s">
        <v>32</v>
      </c>
      <c r="C6" s="14">
        <v>220</v>
      </c>
      <c r="D6" s="14">
        <v>503</v>
      </c>
      <c r="E6" s="14" t="s">
        <v>33</v>
      </c>
      <c r="F6" s="14" t="s">
        <v>34</v>
      </c>
    </row>
    <row r="7" spans="1:6">
      <c r="A7" s="14">
        <v>9006</v>
      </c>
      <c r="B7" s="14" t="s">
        <v>35</v>
      </c>
      <c r="C7" s="14">
        <v>275</v>
      </c>
      <c r="D7" s="14">
        <v>504</v>
      </c>
      <c r="E7" s="14" t="s">
        <v>36</v>
      </c>
      <c r="F7" s="14" t="s">
        <v>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"/>
  <sheetViews>
    <sheetView workbookViewId="0"/>
  </sheetViews>
  <sheetFormatPr defaultRowHeight="14.4"/>
  <cols>
    <col min="1" max="6" width="24.6640625" customWidth="1"/>
  </cols>
  <sheetData>
    <row r="1" spans="1:3">
      <c r="A1" s="13" t="s">
        <v>38</v>
      </c>
      <c r="B1" s="13" t="s">
        <v>39</v>
      </c>
      <c r="C1" s="13" t="s">
        <v>40</v>
      </c>
    </row>
    <row r="2" spans="1:3">
      <c r="A2" s="14" t="s">
        <v>41</v>
      </c>
      <c r="B2" s="14" t="s">
        <v>42</v>
      </c>
      <c r="C2" s="14" t="s">
        <v>43</v>
      </c>
    </row>
    <row r="3" spans="1:3">
      <c r="A3" s="14" t="s">
        <v>44</v>
      </c>
      <c r="B3" s="14" t="s">
        <v>45</v>
      </c>
      <c r="C3" s="14" t="s">
        <v>46</v>
      </c>
    </row>
    <row r="4" spans="1:3">
      <c r="A4" s="14" t="s">
        <v>47</v>
      </c>
      <c r="B4" s="14" t="s">
        <v>48</v>
      </c>
      <c r="C4" s="14" t="s">
        <v>49</v>
      </c>
    </row>
    <row r="5" spans="1:3">
      <c r="A5" s="14" t="s">
        <v>50</v>
      </c>
      <c r="B5" s="14" t="s">
        <v>51</v>
      </c>
      <c r="C5" s="14" t="s">
        <v>52</v>
      </c>
    </row>
    <row r="6" spans="1:3">
      <c r="A6" s="14" t="s">
        <v>53</v>
      </c>
      <c r="B6" s="14" t="s">
        <v>54</v>
      </c>
      <c r="C6" s="1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Dashboard</vt:lpstr>
      <vt:lpstr>Summary_KPI</vt:lpstr>
      <vt:lpstr>Summary_Lagu</vt:lpstr>
      <vt:lpstr>Summary_Genre</vt:lpstr>
      <vt:lpstr>Data_Tren</vt:lpstr>
      <vt:lpstr>2_users</vt:lpstr>
      <vt:lpstr>3_artists</vt:lpstr>
      <vt:lpstr>4_songs</vt:lpstr>
      <vt:lpstr>KPI_Definition</vt:lpstr>
      <vt:lpstr>Dashboard!Print_Area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romanticizeel 's</cp:lastModifiedBy>
  <dcterms:created xsi:type="dcterms:W3CDTF">2026-10-10T12:46:25Z</dcterms:created>
  <dcterms:modified xsi:type="dcterms:W3CDTF">2026-10-17T15:03:17Z</dcterms:modified>
</cp:coreProperties>
</file>